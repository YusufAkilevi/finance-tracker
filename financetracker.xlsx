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L TAKSİT" sheetId="1" r:id="rId4"/>
    <sheet state="visible" name="Bütçe" sheetId="2" r:id="rId5"/>
    <sheet state="hidden" name="Sheet32" sheetId="3" r:id="rId6"/>
    <sheet state="hidden" name="AĞUSTOS-2025" sheetId="4" r:id="rId7"/>
    <sheet state="hidden" name="EYLÜL-2025" sheetId="5" r:id="rId8"/>
    <sheet state="hidden" name="EKİM-2025" sheetId="6" r:id="rId9"/>
    <sheet state="hidden" name="KASIM-2025" sheetId="7" r:id="rId10"/>
    <sheet state="visible" name="Toplam Harcama" sheetId="8" r:id="rId11"/>
    <sheet state="hidden" name="ARALIK-2024" sheetId="9" r:id="rId12"/>
    <sheet state="hidden" name="OCAK-2025" sheetId="10" r:id="rId13"/>
    <sheet state="hidden" name="ŞUBAT-2025" sheetId="11" r:id="rId14"/>
    <sheet state="hidden" name="MART-2025" sheetId="12" r:id="rId15"/>
    <sheet state="hidden" name="NİSAN-2025" sheetId="13" r:id="rId16"/>
    <sheet state="hidden" name="MAYIS-2025" sheetId="14" r:id="rId17"/>
    <sheet state="hidden" name="HAZİRAN-2025" sheetId="15" r:id="rId18"/>
    <sheet state="hidden" name="TEMMUZ-2025" sheetId="16" r:id="rId19"/>
    <sheet state="hidden" name="ARALIK-2023" sheetId="17" r:id="rId20"/>
    <sheet state="hidden" name="OCAK-2024" sheetId="18" r:id="rId21"/>
    <sheet state="hidden" name="ŞUBAT-2024" sheetId="19" r:id="rId22"/>
    <sheet state="hidden" name="NİSAN-2024" sheetId="20" r:id="rId23"/>
    <sheet state="hidden" name="MAYIS-2024" sheetId="21" r:id="rId24"/>
    <sheet state="hidden" name="HAZİRAN-2024" sheetId="22" r:id="rId25"/>
    <sheet state="hidden" name="TEMMUZ-2024" sheetId="23" r:id="rId26"/>
    <sheet state="hidden" name="AĞUSTOS-2024" sheetId="24" r:id="rId27"/>
    <sheet state="hidden" name="EYLÜL-2024" sheetId="25" r:id="rId28"/>
    <sheet state="hidden" name="EKİM-2024" sheetId="26" r:id="rId29"/>
    <sheet state="hidden" name="KASIM-2024" sheetId="27" r:id="rId30"/>
    <sheet state="hidden" name="MART-2024" sheetId="28" r:id="rId31"/>
    <sheet state="hidden" name="MAYIS-2023" sheetId="29" r:id="rId32"/>
    <sheet state="hidden" name="HAZİRAN-2023" sheetId="30" r:id="rId33"/>
    <sheet state="hidden" name="TEMMUZ-2023" sheetId="31" r:id="rId34"/>
    <sheet state="hidden" name="AĞUSTOS-2023" sheetId="32" r:id="rId35"/>
    <sheet state="hidden" name="EYLÜL-2023" sheetId="33" r:id="rId36"/>
    <sheet state="hidden" name="EKİM-2023" sheetId="34" r:id="rId37"/>
    <sheet state="hidden" name="NİSAN-2023" sheetId="35" r:id="rId38"/>
    <sheet state="hidden" name="MART-2023" sheetId="36" r:id="rId39"/>
    <sheet state="hidden" name="ŞUBAT-2023" sheetId="37" r:id="rId40"/>
    <sheet state="hidden" name="OCAK-2023" sheetId="38" r:id="rId41"/>
    <sheet state="hidden" name="ARALIK-2022" sheetId="39" r:id="rId42"/>
    <sheet state="hidden" name="KASIM-2022" sheetId="40" r:id="rId43"/>
    <sheet state="hidden" name="EKİM-2022" sheetId="41" r:id="rId44"/>
    <sheet state="hidden" name="EYLÜL-2022" sheetId="42" r:id="rId45"/>
    <sheet state="hidden" name="AĞUSTOS-2022" sheetId="43" r:id="rId46"/>
    <sheet state="hidden" name="TEMMUZ-2022" sheetId="44" r:id="rId47"/>
    <sheet state="hidden" name="HAZİRAN-2022" sheetId="45" r:id="rId48"/>
    <sheet state="hidden" name="MAYIS-2022" sheetId="46" r:id="rId49"/>
    <sheet state="hidden" name="NİSAN-2022" sheetId="47" r:id="rId50"/>
    <sheet state="hidden" name="MART-2022" sheetId="48" r:id="rId51"/>
    <sheet state="hidden" name="ŞUBAT-2022" sheetId="49" r:id="rId52"/>
    <sheet state="hidden" name="OCAK-2022" sheetId="50" r:id="rId53"/>
    <sheet state="hidden" name="ARALIK-2021" sheetId="51" r:id="rId54"/>
    <sheet state="hidden" name="KASIM-2021" sheetId="52" r:id="rId55"/>
  </sheets>
  <definedNames/>
  <calcPr/>
  <extLst>
    <ext uri="GoogleSheetsCustomDataVersion2">
      <go:sheetsCustomData xmlns:go="http://customooxmlschemas.google.com/" r:id="rId56" roundtripDataChecksum="psmy7fcKbJxeE/ShQrJ0hAfHa9rD6DN/+phPGRsXcQg="/>
    </ext>
  </extLst>
</workbook>
</file>

<file path=xl/sharedStrings.xml><?xml version="1.0" encoding="utf-8"?>
<sst xmlns="http://schemas.openxmlformats.org/spreadsheetml/2006/main" count="949" uniqueCount="105">
  <si>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</si>
  <si>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</si>
  <si>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</si>
  <si>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</si>
  <si>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</si>
  <si>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</si>
  <si>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</si>
  <si>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</si>
  <si>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Terapi</t>
  </si>
  <si>
    <t>Yatırım 101</t>
  </si>
  <si>
    <t>ChatGpt</t>
  </si>
  <si>
    <t>Claude</t>
  </si>
  <si>
    <t>KYK</t>
  </si>
  <si>
    <t>Kredi 1</t>
  </si>
  <si>
    <t>Nakit Avans</t>
  </si>
  <si>
    <t>Beyaz esya</t>
  </si>
  <si>
    <t>Yatak</t>
  </si>
  <si>
    <t>Koltuk + Gardirop</t>
  </si>
  <si>
    <t>Cayci</t>
  </si>
  <si>
    <t>Catal kasik</t>
  </si>
  <si>
    <t>Jilet</t>
  </si>
  <si>
    <t>Taksit Toplam</t>
  </si>
  <si>
    <t>Bu ay</t>
  </si>
  <si>
    <t>Gelecek ay</t>
  </si>
  <si>
    <t>Kira</t>
  </si>
  <si>
    <t>Paid</t>
  </si>
  <si>
    <t>Ziraat</t>
  </si>
  <si>
    <t>Akbank</t>
  </si>
  <si>
    <t>Garanti</t>
  </si>
  <si>
    <t>Bu Ay Toplam Borç</t>
  </si>
  <si>
    <t>Kalan Borç</t>
  </si>
  <si>
    <t>Ödenen Borç</t>
  </si>
  <si>
    <t>Harcama</t>
  </si>
  <si>
    <t>Home</t>
  </si>
  <si>
    <t>Market</t>
  </si>
  <si>
    <t>Food</t>
  </si>
  <si>
    <t>Taksit</t>
  </si>
  <si>
    <t>Transportation</t>
  </si>
  <si>
    <t>Shopping</t>
  </si>
  <si>
    <t>Health</t>
  </si>
  <si>
    <t>Bills</t>
  </si>
  <si>
    <t>Entertainment</t>
  </si>
  <si>
    <t>Personal Care</t>
  </si>
  <si>
    <t>Gifts</t>
  </si>
  <si>
    <t>Subscription</t>
  </si>
  <si>
    <t>Total</t>
  </si>
  <si>
    <t>Aylık Toplam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</si>
  <si>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</si>
  <si>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</si>
  <si>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</si>
  <si>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</si>
  <si>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</si>
  <si>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</si>
  <si>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</si>
  <si>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</si>
  <si>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</si>
  <si>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</si>
  <si>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</si>
  <si>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</si>
  <si>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Column 1</t>
  </si>
  <si>
    <t>Date</t>
  </si>
  <si>
    <t>Transport</t>
  </si>
  <si>
    <t>Rent</t>
  </si>
  <si>
    <t>Abonelik</t>
  </si>
  <si>
    <t>Fun</t>
  </si>
  <si>
    <t>Edu</t>
  </si>
  <si>
    <t>Other</t>
  </si>
  <si>
    <t>Daily Total</t>
  </si>
  <si>
    <t>Daily Avg. Food</t>
  </si>
  <si>
    <t>Daily Avg</t>
  </si>
  <si>
    <t>Market Total</t>
  </si>
  <si>
    <t>Food Total</t>
  </si>
  <si>
    <t>Fun Total</t>
  </si>
  <si>
    <t>Edu Total</t>
  </si>
  <si>
    <t>Trans. Total</t>
  </si>
  <si>
    <t>Taksit Total</t>
  </si>
  <si>
    <t>Abonelik Top.</t>
  </si>
  <si>
    <t>Other Total</t>
  </si>
  <si>
    <t>BORÇLAR</t>
  </si>
  <si>
    <t>Diyetisyen</t>
  </si>
  <si>
    <t>Yoga</t>
  </si>
  <si>
    <t>TOPLAM</t>
  </si>
  <si>
    <t>Yemek</t>
  </si>
  <si>
    <t>Yemek Total</t>
  </si>
  <si>
    <t>Kredi</t>
  </si>
  <si>
    <t>k.kartı</t>
  </si>
  <si>
    <t>kira borç</t>
  </si>
  <si>
    <t>diyetisyen</t>
  </si>
  <si>
    <t>ismail</t>
  </si>
  <si>
    <t>kira düş</t>
  </si>
  <si>
    <t>İlgim Verildi</t>
  </si>
  <si>
    <t>Kalan</t>
  </si>
  <si>
    <t>kiradan düş</t>
  </si>
  <si>
    <t>Daily Avg. F&amp;T</t>
  </si>
  <si>
    <t xml:space="preserve">Kiradan düş </t>
  </si>
  <si>
    <t>Type of expenditure</t>
  </si>
  <si>
    <t>Daily Total Food&amp;Transportation</t>
  </si>
  <si>
    <t>Daily Average F&amp;T</t>
  </si>
  <si>
    <t>Daily Average</t>
  </si>
  <si>
    <t>Total Food</t>
  </si>
  <si>
    <t>Total Transport</t>
  </si>
  <si>
    <t>TOTAL</t>
  </si>
  <si>
    <t xml:space="preserve">kiradan düş </t>
  </si>
  <si>
    <t>Total Food&amp;Transportation</t>
  </si>
  <si>
    <t>Monthly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</si>
</sst>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₺]#,##0.00"/>
    <numFmt numFmtId="165" formatCode="[$€]#,##0.00"/>
    <numFmt numFmtId="166" formatCode="M/d/yyyy"/>
    <numFmt numFmtId="167" formatCode="0.0"/>
  </numFmts>
  <fonts count="21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2.0"/>
      <color rgb="FF333333"/>
      <name val="&quot;Source Sans Pro&quot;"/>
    </font>
    <font>
      <sz val="11.0"/>
      <color rgb="FF000000"/>
      <name val="Calibri"/>
    </font>
    <font>
      <sz val="11.0"/>
      <color theme="1"/>
      <name val="Calibri"/>
    </font>
    <font>
      <sz val="11.0"/>
      <color rgb="FF3F3F76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9C57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9C0006"/>
      <name val="Calibri"/>
    </font>
    <font>
      <b/>
      <sz val="11.0"/>
      <color theme="0"/>
      <name val="Calibri"/>
    </font>
    <font>
      <sz val="12.0"/>
      <color theme="1"/>
      <name val="Calibri"/>
    </font>
    <font>
      <b/>
      <sz val="11.0"/>
      <color rgb="FF9C5700"/>
      <name val="Calibri"/>
    </font>
    <font/>
    <font>
      <sz val="9.0"/>
      <color rgb="FF1155CC"/>
      <name val="Google Sans"/>
    </font>
    <font>
      <b/>
      <sz val="11.0"/>
      <color rgb="FF7F7F7F"/>
      <name val="Calibri"/>
    </font>
    <font>
      <sz val="11.0"/>
      <color rgb="FFFF0000"/>
      <name val="Calibri"/>
    </font>
    <font>
      <sz val="11.0"/>
      <color rgb="FF006100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EB9C"/>
      </patternFill>
    </fill>
    <fill>
      <patternFill patternType="solid">
        <fgColor rgb="FFF4CCCC"/>
        <bgColor rgb="FFF4CCCC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rgb="FFA8D08D"/>
        <bgColor rgb="FFA8D08D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8E7CC3"/>
        <bgColor rgb="FF8E7CC3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8EAADB"/>
        <bgColor rgb="FF8EAADB"/>
      </patternFill>
    </fill>
    <fill>
      <patternFill patternType="solid">
        <fgColor rgb="FFFFCC99"/>
        <bgColor rgb="FFFFCC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C6EFCE"/>
        <bgColor rgb="FFC6EFCE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7F7F7F"/>
      </right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B2B2B2"/>
      </bottom>
    </border>
    <border>
      <left style="medium">
        <color rgb="FF000000"/>
      </left>
      <right style="medium">
        <color rgb="FF000000"/>
      </right>
      <top style="thin">
        <color rgb="FFB2B2B2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</border>
    <border>
      <left style="thin">
        <color rgb="FF7F7F7F"/>
      </left>
      <right/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bottom style="thin">
        <color rgb="FF7F7F7F"/>
      </bottom>
    </border>
    <border>
      <left/>
      <top/>
      <bottom/>
    </border>
    <border>
      <top/>
      <bottom/>
    </border>
    <border>
      <left/>
      <right/>
      <top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1" fillId="0" fontId="2" numFmtId="164" xfId="0" applyBorder="1" applyFont="1" applyNumberFormat="1"/>
    <xf borderId="0" fillId="0" fontId="2" numFmtId="164" xfId="0" applyFont="1" applyNumberFormat="1"/>
    <xf borderId="2" fillId="0" fontId="2" numFmtId="164" xfId="0" applyBorder="1" applyFont="1" applyNumberFormat="1"/>
    <xf borderId="1" fillId="3" fontId="1" numFmtId="0" xfId="0" applyBorder="1" applyFill="1" applyFont="1"/>
    <xf borderId="1" fillId="3" fontId="1" numFmtId="164" xfId="0" applyBorder="1" applyFont="1" applyNumberFormat="1"/>
    <xf borderId="0" fillId="3" fontId="1" numFmtId="164" xfId="0" applyFont="1" applyNumberFormat="1"/>
    <xf borderId="0" fillId="0" fontId="1" numFmtId="0" xfId="0" applyFont="1"/>
    <xf borderId="0" fillId="0" fontId="2" numFmtId="3" xfId="0" applyFont="1" applyNumberFormat="1"/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4" fontId="1" numFmtId="0" xfId="0" applyFill="1" applyFont="1"/>
    <xf borderId="0" fillId="4" fontId="1" numFmtId="164" xfId="0" applyFont="1" applyNumberFormat="1"/>
    <xf borderId="0" fillId="5" fontId="1" numFmtId="0" xfId="0" applyFill="1" applyFont="1"/>
    <xf borderId="0" fillId="5" fontId="1" numFmtId="164" xfId="0" applyFont="1" applyNumberFormat="1"/>
    <xf borderId="0" fillId="6" fontId="1" numFmtId="0" xfId="0" applyFill="1" applyFont="1"/>
    <xf borderId="0" fillId="6" fontId="1" numFmtId="164" xfId="0" applyFont="1" applyNumberFormat="1"/>
    <xf borderId="0" fillId="0" fontId="2" numFmtId="10" xfId="0" applyFont="1" applyNumberFormat="1"/>
    <xf borderId="0" fillId="0" fontId="2" numFmtId="165" xfId="0" applyFont="1" applyNumberFormat="1"/>
    <xf borderId="0" fillId="0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7" fontId="3" numFmtId="0" xfId="0" applyAlignment="1" applyFill="1" applyFont="1">
      <alignment horizontal="left"/>
    </xf>
    <xf borderId="0" fillId="0" fontId="2" numFmtId="166" xfId="0" applyFont="1" applyNumberFormat="1"/>
    <xf borderId="0" fillId="0" fontId="4" numFmtId="164" xfId="0" applyFont="1" applyNumberFormat="1"/>
    <xf borderId="0" fillId="0" fontId="5" numFmtId="2" xfId="0" applyAlignment="1" applyFont="1" applyNumberFormat="1">
      <alignment horizontal="right" vertical="bottom"/>
    </xf>
    <xf borderId="0" fillId="0" fontId="1" numFmtId="0" xfId="0" applyFont="1"/>
    <xf borderId="0" fillId="0" fontId="4" numFmtId="164" xfId="0" applyFont="1" applyNumberFormat="1"/>
    <xf borderId="0" fillId="0" fontId="6" numFmtId="0" xfId="0" applyAlignment="1" applyFont="1">
      <alignment horizontal="center"/>
    </xf>
    <xf borderId="0" fillId="0" fontId="5" numFmtId="2" xfId="0" applyAlignment="1" applyFont="1" applyNumberFormat="1">
      <alignment horizontal="right" vertical="bottom"/>
    </xf>
    <xf borderId="0" fillId="8" fontId="1" numFmtId="0" xfId="0" applyFill="1" applyFont="1"/>
    <xf borderId="0" fillId="8" fontId="7" numFmtId="164" xfId="0" applyFont="1" applyNumberFormat="1"/>
    <xf borderId="0" fillId="0" fontId="8" numFmtId="0" xfId="0" applyFont="1"/>
    <xf borderId="0" fillId="0" fontId="9" numFmtId="14" xfId="0" applyFont="1" applyNumberFormat="1"/>
    <xf borderId="1" fillId="9" fontId="10" numFmtId="0" xfId="0" applyAlignment="1" applyBorder="1" applyFill="1" applyFont="1">
      <alignment horizontal="right" vertical="bottom"/>
    </xf>
    <xf borderId="1" fillId="9" fontId="10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10" numFmtId="164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right" vertical="bottom"/>
    </xf>
    <xf borderId="0" fillId="0" fontId="2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" fillId="10" fontId="9" numFmtId="14" xfId="0" applyAlignment="1" applyBorder="1" applyFill="1" applyFont="1" applyNumberFormat="1">
      <alignment shrinkToFit="0" vertical="center" wrapText="0"/>
    </xf>
    <xf borderId="1" fillId="0" fontId="5" numFmtId="2" xfId="0" applyAlignment="1" applyBorder="1" applyFont="1" applyNumberFormat="1">
      <alignment shrinkToFit="0" vertical="center" wrapText="0"/>
    </xf>
    <xf borderId="1" fillId="11" fontId="5" numFmtId="2" xfId="0" applyAlignment="1" applyBorder="1" applyFill="1" applyFont="1" applyNumberFormat="1">
      <alignment shrinkToFit="0" vertical="center" wrapText="0"/>
    </xf>
    <xf borderId="1" fillId="12" fontId="11" numFmtId="0" xfId="0" applyAlignment="1" applyBorder="1" applyFill="1" applyFont="1">
      <alignment horizontal="center"/>
    </xf>
    <xf borderId="3" fillId="13" fontId="12" numFmtId="164" xfId="0" applyBorder="1" applyFill="1" applyFont="1" applyNumberFormat="1"/>
    <xf borderId="1" fillId="12" fontId="13" numFmtId="0" xfId="0" applyAlignment="1" applyBorder="1" applyFont="1">
      <alignment horizontal="center" vertical="center"/>
    </xf>
    <xf borderId="1" fillId="13" fontId="12" numFmtId="164" xfId="0" applyBorder="1" applyFont="1" applyNumberFormat="1"/>
    <xf borderId="1" fillId="14" fontId="14" numFmtId="164" xfId="0" applyBorder="1" applyFill="1" applyFont="1" applyNumberFormat="1"/>
    <xf borderId="4" fillId="12" fontId="11" numFmtId="0" xfId="0" applyAlignment="1" applyBorder="1" applyFont="1">
      <alignment horizontal="center"/>
    </xf>
    <xf borderId="1" fillId="15" fontId="14" numFmtId="164" xfId="0" applyBorder="1" applyFill="1" applyFont="1" applyNumberFormat="1"/>
    <xf borderId="1" fillId="16" fontId="14" numFmtId="164" xfId="0" applyBorder="1" applyFill="1" applyFont="1" applyNumberFormat="1"/>
    <xf borderId="1" fillId="2" fontId="14" numFmtId="164" xfId="0" applyBorder="1" applyFont="1" applyNumberFormat="1"/>
    <xf borderId="5" fillId="12" fontId="13" numFmtId="0" xfId="0" applyAlignment="1" applyBorder="1" applyFont="1">
      <alignment horizontal="center"/>
    </xf>
    <xf borderId="1" fillId="17" fontId="4" numFmtId="164" xfId="0" applyBorder="1" applyFill="1" applyFont="1" applyNumberFormat="1"/>
    <xf borderId="5" fillId="12" fontId="11" numFmtId="0" xfId="0" applyAlignment="1" applyBorder="1" applyFont="1">
      <alignment horizontal="center"/>
    </xf>
    <xf borderId="1" fillId="18" fontId="4" numFmtId="164" xfId="0" applyBorder="1" applyFill="1" applyFont="1" applyNumberFormat="1"/>
    <xf borderId="1" fillId="19" fontId="4" numFmtId="164" xfId="0" applyBorder="1" applyFill="1" applyFont="1" applyNumberFormat="1"/>
    <xf borderId="1" fillId="20" fontId="4" numFmtId="164" xfId="0" applyBorder="1" applyFill="1" applyFont="1" applyNumberFormat="1"/>
    <xf borderId="1" fillId="3" fontId="4" numFmtId="164" xfId="0" applyBorder="1" applyFont="1" applyNumberFormat="1"/>
    <xf borderId="1" fillId="21" fontId="14" numFmtId="164" xfId="0" applyBorder="1" applyFill="1" applyFont="1" applyNumberFormat="1"/>
    <xf borderId="1" fillId="10" fontId="9" numFmtId="0" xfId="0" applyBorder="1" applyFont="1"/>
    <xf borderId="6" fillId="22" fontId="6" numFmtId="0" xfId="0" applyAlignment="1" applyBorder="1" applyFill="1" applyFont="1">
      <alignment horizontal="center"/>
    </xf>
    <xf borderId="7" fillId="22" fontId="6" numFmtId="0" xfId="0" applyAlignment="1" applyBorder="1" applyFont="1">
      <alignment horizontal="center"/>
    </xf>
    <xf borderId="8" fillId="22" fontId="6" numFmtId="0" xfId="0" applyAlignment="1" applyBorder="1" applyFont="1">
      <alignment horizontal="center"/>
    </xf>
    <xf borderId="8" fillId="4" fontId="6" numFmtId="0" xfId="0" applyBorder="1" applyFont="1"/>
    <xf borderId="0" fillId="0" fontId="2" numFmtId="0" xfId="0" applyFont="1"/>
    <xf borderId="1" fillId="10" fontId="9" numFmtId="14" xfId="0" applyBorder="1" applyFont="1" applyNumberFormat="1"/>
    <xf borderId="1" fillId="0" fontId="5" numFmtId="2" xfId="0" applyBorder="1" applyFont="1" applyNumberFormat="1"/>
    <xf borderId="1" fillId="11" fontId="5" numFmtId="2" xfId="0" applyBorder="1" applyFont="1" applyNumberFormat="1"/>
    <xf borderId="1" fillId="12" fontId="11" numFmtId="0" xfId="0" applyAlignment="1" applyBorder="1" applyFont="1">
      <alignment horizontal="center"/>
    </xf>
    <xf borderId="3" fillId="13" fontId="12" numFmtId="164" xfId="0" applyBorder="1" applyFont="1" applyNumberFormat="1"/>
    <xf borderId="1" fillId="12" fontId="13" numFmtId="0" xfId="0" applyAlignment="1" applyBorder="1" applyFont="1">
      <alignment horizontal="center" vertical="center"/>
    </xf>
    <xf borderId="1" fillId="13" fontId="12" numFmtId="164" xfId="0" applyBorder="1" applyFont="1" applyNumberFormat="1"/>
    <xf borderId="1" fillId="14" fontId="14" numFmtId="164" xfId="0" applyBorder="1" applyFont="1" applyNumberFormat="1"/>
    <xf borderId="4" fillId="12" fontId="11" numFmtId="0" xfId="0" applyAlignment="1" applyBorder="1" applyFont="1">
      <alignment horizontal="center"/>
    </xf>
    <xf borderId="1" fillId="15" fontId="14" numFmtId="164" xfId="0" applyBorder="1" applyFont="1" applyNumberFormat="1"/>
    <xf borderId="1" fillId="16" fontId="14" numFmtId="164" xfId="0" applyBorder="1" applyFont="1" applyNumberFormat="1"/>
    <xf borderId="1" fillId="2" fontId="14" numFmtId="164" xfId="0" applyBorder="1" applyFont="1" applyNumberFormat="1"/>
    <xf borderId="5" fillId="12" fontId="13" numFmtId="0" xfId="0" applyAlignment="1" applyBorder="1" applyFont="1">
      <alignment horizontal="center"/>
    </xf>
    <xf borderId="1" fillId="17" fontId="4" numFmtId="164" xfId="0" applyBorder="1" applyFont="1" applyNumberFormat="1"/>
    <xf borderId="5" fillId="12" fontId="11" numFmtId="0" xfId="0" applyAlignment="1" applyBorder="1" applyFont="1">
      <alignment horizontal="center"/>
    </xf>
    <xf borderId="1" fillId="18" fontId="4" numFmtId="164" xfId="0" applyBorder="1" applyFont="1" applyNumberFormat="1"/>
    <xf borderId="1" fillId="19" fontId="4" numFmtId="164" xfId="0" applyBorder="1" applyFont="1" applyNumberFormat="1"/>
    <xf borderId="1" fillId="20" fontId="4" numFmtId="164" xfId="0" applyBorder="1" applyFont="1" applyNumberFormat="1"/>
    <xf borderId="1" fillId="3" fontId="4" numFmtId="164" xfId="0" applyBorder="1" applyFont="1" applyNumberFormat="1"/>
    <xf borderId="1" fillId="21" fontId="14" numFmtId="164" xfId="0" applyBorder="1" applyFont="1" applyNumberFormat="1"/>
    <xf borderId="1" fillId="10" fontId="9" numFmtId="14" xfId="0" applyBorder="1" applyFont="1" applyNumberFormat="1"/>
    <xf borderId="1" fillId="7" fontId="5" numFmtId="2" xfId="0" applyAlignment="1" applyBorder="1" applyFont="1" applyNumberFormat="1">
      <alignment horizontal="right" vertical="bottom"/>
    </xf>
    <xf borderId="0" fillId="0" fontId="5" numFmtId="2" xfId="0" applyFont="1" applyNumberFormat="1"/>
    <xf borderId="0" fillId="0" fontId="9" numFmtId="14" xfId="0" applyFont="1" applyNumberFormat="1"/>
    <xf borderId="1" fillId="7" fontId="5" numFmtId="2" xfId="0" applyAlignment="1" applyBorder="1" applyFont="1" applyNumberFormat="1">
      <alignment horizontal="right" vertical="bottom"/>
    </xf>
    <xf borderId="1" fillId="11" fontId="5" numFmtId="2" xfId="0" applyBorder="1" applyFont="1" applyNumberFormat="1"/>
    <xf borderId="0" fillId="0" fontId="9" numFmtId="164" xfId="0" applyFont="1" applyNumberFormat="1"/>
    <xf borderId="0" fillId="0" fontId="6" numFmtId="0" xfId="0" applyFont="1"/>
    <xf borderId="0" fillId="0" fontId="11" numFmtId="0" xfId="0" applyAlignment="1" applyFont="1">
      <alignment horizontal="center"/>
    </xf>
    <xf borderId="0" fillId="0" fontId="12" numFmtId="164" xfId="0" applyFont="1" applyNumberFormat="1"/>
    <xf borderId="0" fillId="0" fontId="13" numFmtId="0" xfId="0" applyAlignment="1" applyFont="1">
      <alignment horizontal="center" vertical="center"/>
    </xf>
    <xf borderId="0" fillId="0" fontId="14" numFmtId="164" xfId="0" applyFont="1" applyNumberFormat="1"/>
    <xf borderId="0" fillId="0" fontId="13" numFmtId="0" xfId="0" applyAlignment="1" applyFont="1">
      <alignment horizontal="center"/>
    </xf>
    <xf borderId="0" fillId="8" fontId="15" numFmtId="164" xfId="0" applyFont="1" applyNumberFormat="1"/>
    <xf borderId="0" fillId="0" fontId="5" numFmtId="2" xfId="0" applyFont="1" applyNumberFormat="1"/>
    <xf borderId="1" fillId="10" fontId="9" numFmtId="0" xfId="0" applyBorder="1" applyFont="1"/>
    <xf borderId="6" fillId="22" fontId="6" numFmtId="0" xfId="0" applyBorder="1" applyFont="1"/>
    <xf borderId="8" fillId="22" fontId="6" numFmtId="0" xfId="0" applyBorder="1" applyFont="1"/>
    <xf borderId="8" fillId="4" fontId="6" numFmtId="0" xfId="0" applyBorder="1" applyFont="1"/>
    <xf borderId="1" fillId="12" fontId="13" numFmtId="0" xfId="0" applyAlignment="1" applyBorder="1" applyFont="1">
      <alignment horizontal="center"/>
    </xf>
    <xf borderId="1" fillId="0" fontId="5" numFmtId="2" xfId="0" applyBorder="1" applyFont="1" applyNumberFormat="1"/>
    <xf borderId="3" fillId="13" fontId="12" numFmtId="2" xfId="0" applyBorder="1" applyFont="1" applyNumberFormat="1"/>
    <xf borderId="1" fillId="13" fontId="12" numFmtId="2" xfId="0" applyBorder="1" applyFont="1" applyNumberFormat="1"/>
    <xf borderId="1" fillId="14" fontId="14" numFmtId="2" xfId="0" applyBorder="1" applyFont="1" applyNumberFormat="1"/>
    <xf borderId="1" fillId="21" fontId="14" numFmtId="2" xfId="0" applyBorder="1" applyFont="1" applyNumberFormat="1"/>
    <xf borderId="9" fillId="2" fontId="1" numFmtId="0" xfId="0" applyAlignment="1" applyBorder="1" applyFont="1">
      <alignment horizontal="center"/>
    </xf>
    <xf borderId="10" fillId="0" fontId="16" numFmtId="0" xfId="0" applyBorder="1" applyFont="1"/>
    <xf borderId="11" fillId="0" fontId="16" numFmtId="0" xfId="0" applyBorder="1" applyFont="1"/>
    <xf borderId="0" fillId="7" fontId="1" numFmtId="0" xfId="0" applyAlignment="1" applyFont="1">
      <alignment horizontal="center"/>
    </xf>
    <xf borderId="1" fillId="23" fontId="1" numFmtId="0" xfId="0" applyBorder="1" applyFill="1" applyFont="1"/>
    <xf borderId="1" fillId="23" fontId="7" numFmtId="0" xfId="0" applyBorder="1" applyFont="1"/>
    <xf borderId="0" fillId="7" fontId="7" numFmtId="0" xfId="0" applyFont="1"/>
    <xf borderId="1" fillId="23" fontId="1" numFmtId="2" xfId="0" applyBorder="1" applyFont="1" applyNumberFormat="1"/>
    <xf borderId="1" fillId="23" fontId="7" numFmtId="2" xfId="0" applyBorder="1" applyFont="1" applyNumberFormat="1"/>
    <xf borderId="0" fillId="7" fontId="7" numFmtId="2" xfId="0" applyFont="1" applyNumberFormat="1"/>
    <xf borderId="9" fillId="5" fontId="1" numFmtId="0" xfId="0" applyBorder="1" applyFont="1"/>
    <xf borderId="9" fillId="5" fontId="1" numFmtId="2" xfId="0" applyAlignment="1" applyBorder="1" applyFont="1" applyNumberFormat="1">
      <alignment horizontal="center"/>
    </xf>
    <xf borderId="7" fillId="22" fontId="6" numFmtId="0" xfId="0" applyBorder="1" applyFont="1"/>
    <xf borderId="1" fillId="5" fontId="1" numFmtId="0" xfId="0" applyAlignment="1" applyBorder="1" applyFont="1">
      <alignment horizontal="center"/>
    </xf>
    <xf borderId="0" fillId="0" fontId="7" numFmtId="0" xfId="0" applyFont="1"/>
    <xf borderId="0" fillId="0" fontId="7" numFmtId="2" xfId="0" applyFont="1" applyNumberFormat="1"/>
    <xf borderId="6" fillId="22" fontId="6" numFmtId="0" xfId="0" applyAlignment="1" applyBorder="1" applyFont="1">
      <alignment horizontal="center"/>
    </xf>
    <xf borderId="7" fillId="22" fontId="6" numFmtId="0" xfId="0" applyAlignment="1" applyBorder="1" applyFont="1">
      <alignment horizontal="center"/>
    </xf>
    <xf borderId="8" fillId="22" fontId="6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0" fontId="14" numFmtId="2" xfId="0" applyFont="1" applyNumberFormat="1"/>
    <xf borderId="0" fillId="0" fontId="13" numFmtId="0" xfId="0" applyAlignment="1" applyFont="1">
      <alignment horizontal="center"/>
    </xf>
    <xf borderId="0" fillId="0" fontId="4" numFmtId="2" xfId="0" applyFont="1" applyNumberFormat="1"/>
    <xf borderId="9" fillId="5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3" fillId="0" fontId="16" numFmtId="0" xfId="0" applyBorder="1" applyFont="1"/>
    <xf borderId="14" fillId="0" fontId="16" numFmtId="0" xfId="0" applyBorder="1" applyFont="1"/>
    <xf borderId="12" fillId="23" fontId="1" numFmtId="0" xfId="0" applyBorder="1" applyFont="1"/>
    <xf borderId="15" fillId="23" fontId="1" numFmtId="0" xfId="0" applyBorder="1" applyFont="1"/>
    <xf borderId="15" fillId="23" fontId="7" numFmtId="0" xfId="0" applyBorder="1" applyFont="1"/>
    <xf borderId="12" fillId="23" fontId="1" numFmtId="2" xfId="0" applyBorder="1" applyFont="1" applyNumberFormat="1"/>
    <xf borderId="15" fillId="23" fontId="7" numFmtId="2" xfId="0" applyBorder="1" applyFont="1" applyNumberFormat="1"/>
    <xf borderId="15" fillId="5" fontId="1" numFmtId="0" xfId="0" applyBorder="1" applyFont="1"/>
    <xf borderId="12" fillId="5" fontId="1" numFmtId="2" xfId="0" applyBorder="1" applyFont="1" applyNumberFormat="1"/>
    <xf borderId="15" fillId="23" fontId="1" numFmtId="2" xfId="0" applyBorder="1" applyFont="1" applyNumberFormat="1"/>
    <xf borderId="12" fillId="5" fontId="1" numFmtId="0" xfId="0" applyBorder="1" applyFont="1"/>
    <xf borderId="0" fillId="7" fontId="17" numFmtId="2" xfId="0" applyFont="1" applyNumberFormat="1"/>
    <xf borderId="1" fillId="7" fontId="17" numFmtId="2" xfId="0" applyBorder="1" applyFont="1" applyNumberFormat="1"/>
    <xf borderId="16" fillId="2" fontId="1" numFmtId="0" xfId="0" applyAlignment="1" applyBorder="1" applyFont="1">
      <alignment horizontal="center"/>
    </xf>
    <xf borderId="17" fillId="0" fontId="16" numFmtId="0" xfId="0" applyBorder="1" applyFont="1"/>
    <xf borderId="18" fillId="23" fontId="1" numFmtId="0" xfId="0" applyBorder="1" applyFont="1"/>
    <xf borderId="18" fillId="23" fontId="7" numFmtId="0" xfId="0" applyBorder="1" applyFont="1"/>
    <xf borderId="18" fillId="23" fontId="1" numFmtId="2" xfId="0" applyBorder="1" applyFont="1" applyNumberFormat="1"/>
    <xf borderId="18" fillId="23" fontId="7" numFmtId="2" xfId="0" applyBorder="1" applyFont="1" applyNumberFormat="1"/>
    <xf borderId="18" fillId="5" fontId="1" numFmtId="0" xfId="0" applyBorder="1" applyFont="1"/>
    <xf borderId="0" fillId="7" fontId="1" numFmtId="0" xfId="0" applyFont="1"/>
    <xf borderId="0" fillId="24" fontId="9" numFmtId="14" xfId="0" applyFill="1" applyFont="1" applyNumberFormat="1"/>
    <xf borderId="0" fillId="7" fontId="14" numFmtId="0" xfId="0" applyFont="1"/>
    <xf borderId="19" fillId="25" fontId="18" numFmtId="0" xfId="0" applyBorder="1" applyFill="1" applyFont="1"/>
    <xf borderId="20" fillId="25" fontId="18" numFmtId="0" xfId="0" applyBorder="1" applyFont="1"/>
    <xf borderId="19" fillId="25" fontId="14" numFmtId="0" xfId="0" applyBorder="1" applyFont="1"/>
    <xf borderId="19" fillId="25" fontId="5" numFmtId="0" xfId="0" applyBorder="1" applyFont="1"/>
    <xf borderId="20" fillId="25" fontId="14" numFmtId="0" xfId="0" applyBorder="1" applyFont="1"/>
    <xf borderId="20" fillId="25" fontId="5" numFmtId="0" xfId="0" applyBorder="1" applyFont="1"/>
    <xf borderId="21" fillId="0" fontId="5" numFmtId="2" xfId="0" applyBorder="1" applyFont="1" applyNumberFormat="1"/>
    <xf borderId="1" fillId="12" fontId="13" numFmtId="0" xfId="0" applyAlignment="1" applyBorder="1" applyFont="1">
      <alignment horizontal="center" shrinkToFit="0" wrapText="1"/>
    </xf>
    <xf borderId="1" fillId="12" fontId="13" numFmtId="0" xfId="0" applyAlignment="1" applyBorder="1" applyFont="1">
      <alignment horizontal="center" shrinkToFit="0" vertical="center" wrapText="1"/>
    </xf>
    <xf borderId="5" fillId="12" fontId="13" numFmtId="0" xfId="0" applyAlignment="1" applyBorder="1" applyFont="1">
      <alignment horizontal="center" shrinkToFit="0" wrapText="1"/>
    </xf>
    <xf borderId="22" fillId="26" fontId="5" numFmtId="0" xfId="0" applyBorder="1" applyFill="1" applyFont="1"/>
    <xf borderId="23" fillId="26" fontId="5" numFmtId="0" xfId="0" applyBorder="1" applyFont="1"/>
    <xf borderId="22" fillId="27" fontId="5" numFmtId="0" xfId="0" applyBorder="1" applyFill="1" applyFont="1"/>
    <xf borderId="23" fillId="27" fontId="5" numFmtId="0" xfId="0" applyBorder="1" applyFont="1"/>
    <xf borderId="24" fillId="22" fontId="6" numFmtId="0" xfId="0" applyAlignment="1" applyBorder="1" applyFont="1">
      <alignment horizontal="center"/>
    </xf>
    <xf borderId="25" fillId="0" fontId="16" numFmtId="0" xfId="0" applyBorder="1" applyFont="1"/>
    <xf borderId="26" fillId="0" fontId="16" numFmtId="0" xfId="0" applyBorder="1" applyFont="1"/>
    <xf borderId="2" fillId="22" fontId="6" numFmtId="0" xfId="0" applyAlignment="1" applyBorder="1" applyFont="1">
      <alignment horizontal="center" shrinkToFit="0" wrapText="1"/>
    </xf>
    <xf borderId="27" fillId="22" fontId="6" numFmtId="0" xfId="0" applyAlignment="1" applyBorder="1" applyFont="1">
      <alignment horizontal="center" shrinkToFit="0" wrapText="1"/>
    </xf>
    <xf borderId="2" fillId="12" fontId="13" numFmtId="0" xfId="0" applyAlignment="1" applyBorder="1" applyFont="1">
      <alignment horizontal="center" shrinkToFit="0" wrapText="1"/>
    </xf>
    <xf borderId="2" fillId="12" fontId="13" numFmtId="0" xfId="0" applyAlignment="1" applyBorder="1" applyFont="1">
      <alignment horizontal="center" shrinkToFit="0" vertical="center" wrapText="1"/>
    </xf>
    <xf borderId="2" fillId="12" fontId="13" numFmtId="0" xfId="0" applyAlignment="1" applyBorder="1" applyFont="1">
      <alignment horizontal="center"/>
    </xf>
    <xf borderId="21" fillId="0" fontId="16" numFmtId="0" xfId="0" applyBorder="1" applyFont="1"/>
    <xf borderId="28" fillId="0" fontId="16" numFmtId="0" xfId="0" applyBorder="1" applyFont="1"/>
    <xf borderId="4" fillId="0" fontId="16" numFmtId="0" xfId="0" applyBorder="1" applyFont="1"/>
    <xf borderId="29" fillId="22" fontId="6" numFmtId="0" xfId="0" applyBorder="1" applyFont="1"/>
    <xf borderId="30" fillId="22" fontId="6" numFmtId="0" xfId="0" applyBorder="1" applyFont="1"/>
    <xf borderId="31" fillId="0" fontId="16" numFmtId="0" xfId="0" applyBorder="1" applyFont="1"/>
    <xf borderId="27" fillId="22" fontId="6" numFmtId="0" xfId="0" applyAlignment="1" applyBorder="1" applyFont="1">
      <alignment horizontal="center"/>
    </xf>
    <xf borderId="0" fillId="0" fontId="5" numFmtId="167" xfId="0" applyFont="1" applyNumberFormat="1"/>
    <xf borderId="1" fillId="13" fontId="12" numFmtId="167" xfId="0" applyBorder="1" applyFont="1" applyNumberFormat="1"/>
    <xf borderId="0" fillId="0" fontId="19" numFmtId="0" xfId="0" applyFont="1"/>
    <xf borderId="32" fillId="13" fontId="12" numFmtId="0" xfId="0" applyAlignment="1" applyBorder="1" applyFont="1">
      <alignment horizontal="center"/>
    </xf>
    <xf borderId="33" fillId="0" fontId="16" numFmtId="0" xfId="0" applyBorder="1" applyFont="1"/>
    <xf borderId="34" fillId="10" fontId="9" numFmtId="0" xfId="0" applyBorder="1" applyFont="1"/>
    <xf borderId="34" fillId="13" fontId="12" numFmtId="0" xfId="0" applyBorder="1" applyFont="1"/>
    <xf borderId="34" fillId="28" fontId="20" numFmtId="0" xfId="0" applyBorder="1" applyFill="1" applyFont="1"/>
    <xf borderId="35" fillId="12" fontId="13" numFmtId="0" xfId="0" applyBorder="1" applyFont="1"/>
    <xf borderId="0" fillId="0" fontId="5" numFmtId="14" xfId="0" applyFont="1" applyNumberFormat="1"/>
    <xf borderId="34" fillId="9" fontId="5" numFmtId="167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19">
    <tableStyle count="2" pivot="0" name="AĞUSTOS-2025-style">
      <tableStyleElement dxfId="1" type="firstRowStripe"/>
      <tableStyleElement dxfId="2" type="secondRowStripe"/>
    </tableStyle>
    <tableStyle count="2" pivot="0" name="EYLÜL-2025-style">
      <tableStyleElement dxfId="1" type="firstRowStripe"/>
      <tableStyleElement dxfId="2" type="secondRowStripe"/>
    </tableStyle>
    <tableStyle count="2" pivot="0" name="EKİM-2025-style">
      <tableStyleElement dxfId="1" type="firstRowStripe"/>
      <tableStyleElement dxfId="2" type="secondRowStripe"/>
    </tableStyle>
    <tableStyle count="2" pivot="0" name="KASIM-2025-style">
      <tableStyleElement dxfId="1" type="firstRowStripe"/>
      <tableStyleElement dxfId="2" type="secondRowStripe"/>
    </tableStyle>
    <tableStyle count="3" pivot="0" name="ARALIK-2024-style">
      <tableStyleElement dxfId="3" type="headerRow"/>
      <tableStyleElement dxfId="1" type="firstRowStripe"/>
      <tableStyleElement dxfId="2" type="secondRowStripe"/>
    </tableStyle>
    <tableStyle count="2" pivot="0" name="OCAK-2025-style">
      <tableStyleElement dxfId="1" type="firstRowStripe"/>
      <tableStyleElement dxfId="2" type="secondRowStripe"/>
    </tableStyle>
    <tableStyle count="2" pivot="0" name="OCAK-2025-style 2">
      <tableStyleElement dxfId="1" type="firstRowStripe"/>
      <tableStyleElement dxfId="2" type="secondRowStripe"/>
    </tableStyle>
    <tableStyle count="2" pivot="0" name="ŞUBAT-2025-style">
      <tableStyleElement dxfId="1" type="firstRowStripe"/>
      <tableStyleElement dxfId="2" type="secondRowStripe"/>
    </tableStyle>
    <tableStyle count="2" pivot="0" name="ŞUBAT-2025-style 2">
      <tableStyleElement dxfId="1" type="firstRowStripe"/>
      <tableStyleElement dxfId="2" type="secondRowStripe"/>
    </tableStyle>
    <tableStyle count="2" pivot="0" name="MART-2025-style">
      <tableStyleElement dxfId="1" type="firstRowStripe"/>
      <tableStyleElement dxfId="2" type="secondRowStripe"/>
    </tableStyle>
    <tableStyle count="2" pivot="0" name="MART-2025-style 2">
      <tableStyleElement dxfId="1" type="firstRowStripe"/>
      <tableStyleElement dxfId="2" type="secondRowStripe"/>
    </tableStyle>
    <tableStyle count="2" pivot="0" name="NİSAN-2025-style">
      <tableStyleElement dxfId="1" type="firstRowStripe"/>
      <tableStyleElement dxfId="2" type="secondRowStripe"/>
    </tableStyle>
    <tableStyle count="2" pivot="0" name="NİSAN-2025-style 2">
      <tableStyleElement dxfId="1" type="firstRowStripe"/>
      <tableStyleElement dxfId="2" type="secondRowStripe"/>
    </tableStyle>
    <tableStyle count="2" pivot="0" name="MAYIS-2025-style">
      <tableStyleElement dxfId="1" type="firstRowStripe"/>
      <tableStyleElement dxfId="2" type="secondRowStripe"/>
    </tableStyle>
    <tableStyle count="2" pivot="0" name="MAYIS-2025-style 2">
      <tableStyleElement dxfId="1" type="firstRowStripe"/>
      <tableStyleElement dxfId="2" type="secondRowStripe"/>
    </tableStyle>
    <tableStyle count="2" pivot="0" name="HAZİRAN-2025-style">
      <tableStyleElement dxfId="1" type="firstRowStripe"/>
      <tableStyleElement dxfId="2" type="secondRowStripe"/>
    </tableStyle>
    <tableStyle count="2" pivot="0" name="HAZİRAN-2025-style 2">
      <tableStyleElement dxfId="1" type="firstRowStripe"/>
      <tableStyleElement dxfId="2" type="secondRowStripe"/>
    </tableStyle>
    <tableStyle count="2" pivot="0" name="TEMMUZ-2025-style">
      <tableStyleElement dxfId="1" type="firstRowStripe"/>
      <tableStyleElement dxfId="2" type="secondRowStripe"/>
    </tableStyle>
    <tableStyle count="2" pivot="0" name="TEMMUZ-2025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56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6D9EEB"/>
              </a:solidFill>
            </c:spPr>
          </c:dPt>
          <c:dPt>
            <c:idx val="2"/>
            <c:spPr>
              <a:solidFill>
                <a:srgbClr val="D5A6BD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DD7E6B"/>
              </a:solidFill>
            </c:spPr>
          </c:dPt>
          <c:dPt>
            <c:idx val="5"/>
            <c:spPr>
              <a:solidFill>
                <a:srgbClr val="8E7CC3"/>
              </a:solidFill>
            </c:spPr>
          </c:dPt>
          <c:dPt>
            <c:idx val="6"/>
            <c:spPr>
              <a:solidFill>
                <a:srgbClr val="EA9999"/>
              </a:solidFill>
            </c:spPr>
          </c:dPt>
          <c:dPt>
            <c:idx val="7"/>
            <c:spPr>
              <a:solidFill>
                <a:srgbClr val="CFE2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'TEMMUZ-2024'!$N$4:$N$11</c:f>
            </c:strRef>
          </c:cat>
          <c:val>
            <c:numRef>
              <c:f>'TEMMUZ-2024'!$O$4:$O$11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6D9EEB"/>
              </a:solidFill>
            </c:spPr>
          </c:dPt>
          <c:dPt>
            <c:idx val="2"/>
            <c:spPr>
              <a:solidFill>
                <a:srgbClr val="D5A6BD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DD7E6B"/>
              </a:solidFill>
            </c:spPr>
          </c:dPt>
          <c:dPt>
            <c:idx val="5"/>
            <c:spPr>
              <a:solidFill>
                <a:srgbClr val="8E7CC3"/>
              </a:solidFill>
            </c:spPr>
          </c:dPt>
          <c:dPt>
            <c:idx val="6"/>
            <c:spPr>
              <a:solidFill>
                <a:srgbClr val="EA9999"/>
              </a:solidFill>
            </c:spPr>
          </c:dPt>
          <c:dPt>
            <c:idx val="7"/>
            <c:spPr>
              <a:solidFill>
                <a:srgbClr val="CFE2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'AĞUSTOS-2024'!$N$4:$N$11</c:f>
            </c:strRef>
          </c:cat>
          <c:val>
            <c:numRef>
              <c:f>'AĞUSTOS-2024'!$O$4:$O$11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6D9EEB"/>
              </a:solidFill>
            </c:spPr>
          </c:dPt>
          <c:dPt>
            <c:idx val="2"/>
            <c:spPr>
              <a:solidFill>
                <a:srgbClr val="D5A6BD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DD7E6B"/>
              </a:solidFill>
            </c:spPr>
          </c:dPt>
          <c:dPt>
            <c:idx val="5"/>
            <c:spPr>
              <a:solidFill>
                <a:srgbClr val="8E7CC3"/>
              </a:solidFill>
            </c:spPr>
          </c:dPt>
          <c:dPt>
            <c:idx val="6"/>
            <c:spPr>
              <a:solidFill>
                <a:srgbClr val="EA9999"/>
              </a:solidFill>
            </c:spPr>
          </c:dPt>
          <c:dPt>
            <c:idx val="7"/>
            <c:spPr>
              <a:solidFill>
                <a:srgbClr val="CFE2F3"/>
              </a:solidFill>
            </c:spPr>
          </c:dPt>
          <c:dPt>
            <c:idx val="8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'EYLÜL-2024'!$N$4:$N$12</c:f>
            </c:strRef>
          </c:cat>
          <c:val>
            <c:numRef>
              <c:f>'EYLÜL-2024'!$O$4:$O$12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152400</xdr:colOff>
      <xdr:row>13</xdr:row>
      <xdr:rowOff>38100</xdr:rowOff>
    </xdr:from>
    <xdr:ext cx="4286250" cy="2657475"/>
    <xdr:graphicFrame>
      <xdr:nvGraphicFramePr>
        <xdr:cNvPr id="90514201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257175</xdr:colOff>
      <xdr:row>12</xdr:row>
      <xdr:rowOff>123825</xdr:rowOff>
    </xdr:from>
    <xdr:ext cx="4286250" cy="2657475"/>
    <xdr:graphicFrame>
      <xdr:nvGraphicFramePr>
        <xdr:cNvPr id="2617362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228600</xdr:colOff>
      <xdr:row>13</xdr:row>
      <xdr:rowOff>171450</xdr:rowOff>
    </xdr:from>
    <xdr:ext cx="5715000" cy="3533775"/>
    <xdr:graphicFrame>
      <xdr:nvGraphicFramePr>
        <xdr:cNvPr id="1217423141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6:C20" displayName="Table_1" name="Table_1" id="1">
  <tableColumns count="3">
    <tableColumn name="Column1" id="1"/>
    <tableColumn name="Column2" id="2"/>
    <tableColumn name="Column3" id="3"/>
  </tableColumns>
  <tableStyleInfo name="AĞUSTOS-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6:B13" displayName="Table_2" name="Table_2" id="2">
  <tableColumns count="2">
    <tableColumn name="Column1" id="1"/>
    <tableColumn name="Column2" id="2"/>
  </tableColumns>
  <tableStyleInfo name="EYLÜL-2025-style" showColumnStripes="0" showFirstColumn="1" showLastColumn="1" showRowStripes="1"/>
</table>
</file>

<file path=xl/tables/table3.xml><?xml version="1.0" encoding="utf-8"?>
<table xmlns="http://schemas.openxmlformats.org/spreadsheetml/2006/main" headerRowCount="0" ref="A8:B13" displayName="Table_3" name="Table_3" id="3">
  <tableColumns count="2">
    <tableColumn name="Column1" id="1"/>
    <tableColumn name="Column2" id="2"/>
  </tableColumns>
  <tableStyleInfo name="EKİM-2025-style" showColumnStripes="0" showFirstColumn="1" showLastColumn="1" showRowStripes="1"/>
</table>
</file>

<file path=xl/tables/table4.xml><?xml version="1.0" encoding="utf-8"?>
<table xmlns="http://schemas.openxmlformats.org/spreadsheetml/2006/main" headerRowCount="0" ref="A8:B13" displayName="Table_4" name="Table_4" id="4">
  <tableColumns count="2">
    <tableColumn name="Column1" id="1"/>
    <tableColumn name="Column2" id="2"/>
  </tableColumns>
  <tableStyleInfo name="KASIM-2025-style" showColumnStripes="0" showFirstColumn="1" showLastColumn="1" showRowStripes="1"/>
</table>
</file>

<file path=xl/tables/table5.xml><?xml version="1.0" encoding="utf-8"?>
<table xmlns="http://schemas.openxmlformats.org/spreadsheetml/2006/main" ref="A1:M32" displayName="Table_5" name="Table_5" id="5">
  <tableColumns count="13">
    <tableColumn name="Column 1" id="1"/>
    <tableColumn name="Date" id="2"/>
    <tableColumn name="Market" id="3"/>
    <tableColumn name="Food" id="4"/>
    <tableColumn name="Transport" id="5"/>
    <tableColumn name="Rent" id="6"/>
    <tableColumn name="Bills" id="7"/>
    <tableColumn name="Taksit" id="8"/>
    <tableColumn name="Abonelik" id="9"/>
    <tableColumn name="Fun" id="10"/>
    <tableColumn name="Edu" id="11"/>
    <tableColumn name="Other" id="12"/>
    <tableColumn name="Daily Total" id="13"/>
  </tableColumns>
  <tableStyleInfo name="ARALIK-2024-style" showColumnStripes="0" showFirstColumn="1" showLastColumn="1" showRowStripes="1"/>
</table>
</file>

<file path=xl/tables/table6.xml><?xml version="1.0" encoding="utf-8"?>
<table xmlns="http://schemas.openxmlformats.org/spreadsheetml/2006/main" headerRowCount="0" ref="A1:O31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CAK-2025-style" showColumnStripes="0" showFirstColumn="1" showLastColumn="1" showRowStripes="1"/>
</table>
</file>

<file path=xl/tables/table7.xml><?xml version="1.0" encoding="utf-8"?>
<table xmlns="http://schemas.openxmlformats.org/spreadsheetml/2006/main" headerRowCount="0" ref="C32:M32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OCAK-2025-style 2" showColumnStripes="0" showFirstColumn="1" showLastColumn="1" showRowStripes="1"/>
</table>
</file>

<file path=xl/tables/table8.xml><?xml version="1.0" encoding="utf-8"?>
<table xmlns="http://schemas.openxmlformats.org/spreadsheetml/2006/main" headerRowCount="0" ref="A1:O31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ŞUBAT-2025-style" showColumnStripes="0" showFirstColumn="1" showLastColumn="1" showRowStripes="1"/>
</table>
</file>

<file path=xl/tables/table9.xml><?xml version="1.0" encoding="utf-8"?>
<table xmlns="http://schemas.openxmlformats.org/spreadsheetml/2006/main" headerRowCount="0" ref="C32:M32" displayName="Table_9" name="Table_9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ŞUBAT-2025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1:O29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RT-2025-style" showColumnStripes="0" showFirstColumn="1" showLastColumn="1" showRowStripes="1"/>
</table>
</file>

<file path=xl/tables/table11.xml><?xml version="1.0" encoding="utf-8"?>
<table xmlns="http://schemas.openxmlformats.org/spreadsheetml/2006/main" headerRowCount="0" ref="C30:M30" displayName="Table_11" name="Table_11" id="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ART-2025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1:O29" displayName="Table_12" name="Table_12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NİSAN-2025-style" showColumnStripes="0" showFirstColumn="1" showLastColumn="1" showRowStripes="1"/>
</table>
</file>

<file path=xl/tables/table13.xml><?xml version="1.0" encoding="utf-8"?>
<table xmlns="http://schemas.openxmlformats.org/spreadsheetml/2006/main" headerRowCount="0" ref="C30:M30" displayName="Table_13" name="Table_13" id="1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NİSAN-2025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1:O29" displayName="Table_14" name="Table_14" id="1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YIS-2025-style" showColumnStripes="0" showFirstColumn="1" showLastColumn="1" showRowStripes="1"/>
</table>
</file>

<file path=xl/tables/table15.xml><?xml version="1.0" encoding="utf-8"?>
<table xmlns="http://schemas.openxmlformats.org/spreadsheetml/2006/main" headerRowCount="0" ref="C30:M30" displayName="Table_15" name="Table_15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AYIS-2025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1:O29" displayName="Table_16" name="Table_16" id="1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HAZİRAN-2025-style" showColumnStripes="0" showFirstColumn="1" showLastColumn="1" showRowStripes="1"/>
</table>
</file>

<file path=xl/tables/table17.xml><?xml version="1.0" encoding="utf-8"?>
<table xmlns="http://schemas.openxmlformats.org/spreadsheetml/2006/main" headerRowCount="0" ref="C30:M30" displayName="Table_17" name="Table_17" id="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HAZİRAN-2025-style 2" showColumnStripes="0" showFirstColumn="1" showLastColumn="1" showRowStripes="1"/>
</table>
</file>

<file path=xl/tables/table18.xml><?xml version="1.0" encoding="utf-8"?>
<table xmlns="http://schemas.openxmlformats.org/spreadsheetml/2006/main" headerRowCount="0" ref="A1:O29" displayName="Table_18" name="Table_18" id="1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TEMMUZ-2025-style" showColumnStripes="0" showFirstColumn="1" showLastColumn="1" showRowStripes="1"/>
</table>
</file>

<file path=xl/tables/table19.xml><?xml version="1.0" encoding="utf-8"?>
<table xmlns="http://schemas.openxmlformats.org/spreadsheetml/2006/main" headerRowCount="0" ref="C30:M30" displayName="Table_19" name="Table_19" id="1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EMMUZ-202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12" width="12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</row>
    <row r="2">
      <c r="A2" s="2" t="s">
        <v>8</v>
      </c>
      <c r="B2" s="3">
        <v>8000.0</v>
      </c>
      <c r="C2" s="3">
        <v>8000.0</v>
      </c>
      <c r="D2" s="3">
        <v>8000.0</v>
      </c>
      <c r="E2" s="3">
        <v>8000.0</v>
      </c>
      <c r="F2" s="3">
        <v>8000.0</v>
      </c>
      <c r="G2" s="3">
        <v>8000.0</v>
      </c>
      <c r="H2" s="3">
        <v>8000.0</v>
      </c>
      <c r="I2" s="3">
        <v>8000.0</v>
      </c>
      <c r="J2" s="4"/>
      <c r="K2" s="4"/>
      <c r="L2" s="4"/>
    </row>
    <row r="3">
      <c r="A3" s="2" t="s">
        <v>9</v>
      </c>
      <c r="B3" s="5">
        <v>650.0</v>
      </c>
      <c r="C3" s="5">
        <v>650.0</v>
      </c>
      <c r="D3" s="5">
        <v>650.0</v>
      </c>
      <c r="E3" s="5">
        <v>650.0</v>
      </c>
      <c r="F3" s="5">
        <v>650.0</v>
      </c>
      <c r="G3" s="5">
        <v>650.0</v>
      </c>
      <c r="H3" s="5">
        <v>650.0</v>
      </c>
      <c r="I3" s="5">
        <v>650.0</v>
      </c>
      <c r="J3" s="4"/>
      <c r="K3" s="4"/>
      <c r="L3" s="4"/>
    </row>
    <row r="4">
      <c r="A4" s="2" t="s">
        <v>10</v>
      </c>
      <c r="B4" s="5">
        <v>500.0</v>
      </c>
      <c r="C4" s="3">
        <v>500.0</v>
      </c>
      <c r="D4" s="3">
        <v>500.0</v>
      </c>
      <c r="E4" s="3">
        <v>500.0</v>
      </c>
      <c r="F4" s="3">
        <v>500.0</v>
      </c>
      <c r="G4" s="3">
        <v>500.0</v>
      </c>
      <c r="H4" s="3">
        <v>500.0</v>
      </c>
      <c r="I4" s="3">
        <v>500.0</v>
      </c>
      <c r="J4" s="4"/>
      <c r="K4" s="4"/>
      <c r="L4" s="4"/>
    </row>
    <row r="5">
      <c r="A5" s="2" t="s">
        <v>11</v>
      </c>
      <c r="B5" s="5">
        <v>819.0</v>
      </c>
      <c r="C5" s="5">
        <v>819.0</v>
      </c>
      <c r="D5" s="5">
        <v>819.0</v>
      </c>
      <c r="E5" s="5">
        <v>819.0</v>
      </c>
      <c r="F5" s="5">
        <v>819.0</v>
      </c>
      <c r="G5" s="5">
        <v>819.0</v>
      </c>
      <c r="H5" s="5">
        <v>819.0</v>
      </c>
      <c r="I5" s="5">
        <v>819.0</v>
      </c>
      <c r="J5" s="4"/>
      <c r="K5" s="4"/>
      <c r="L5" s="4"/>
    </row>
    <row r="6">
      <c r="A6" s="2" t="s">
        <v>12</v>
      </c>
      <c r="B6" s="3">
        <v>500.0</v>
      </c>
      <c r="C6" s="3">
        <v>500.0</v>
      </c>
      <c r="D6" s="3">
        <v>500.0</v>
      </c>
      <c r="E6" s="3">
        <v>500.0</v>
      </c>
      <c r="F6" s="3">
        <v>500.0</v>
      </c>
      <c r="G6" s="3">
        <v>500.0</v>
      </c>
      <c r="H6" s="3">
        <v>500.0</v>
      </c>
      <c r="I6" s="3">
        <v>500.0</v>
      </c>
      <c r="J6" s="4"/>
      <c r="K6" s="4"/>
      <c r="L6" s="4"/>
    </row>
    <row r="7">
      <c r="A7" s="2" t="s">
        <v>13</v>
      </c>
      <c r="B7" s="5">
        <v>3625.88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>
      <c r="A8" s="2" t="s">
        <v>14</v>
      </c>
      <c r="B8" s="5">
        <v>8530.64</v>
      </c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 t="s">
        <v>15</v>
      </c>
      <c r="B9" s="5">
        <v>6408.0</v>
      </c>
      <c r="C9" s="5">
        <v>6408.0</v>
      </c>
      <c r="D9" s="5">
        <v>6408.0</v>
      </c>
      <c r="E9" s="4"/>
      <c r="F9" s="4"/>
      <c r="G9" s="4"/>
      <c r="H9" s="4"/>
      <c r="I9" s="4"/>
      <c r="J9" s="4"/>
      <c r="K9" s="4"/>
      <c r="L9" s="4"/>
    </row>
    <row r="10">
      <c r="A10" s="2" t="s">
        <v>16</v>
      </c>
      <c r="B10" s="5">
        <f t="shared" ref="B10:E10" si="1">35750/6</f>
        <v>5958.333333</v>
      </c>
      <c r="C10" s="5">
        <f t="shared" si="1"/>
        <v>5958.333333</v>
      </c>
      <c r="D10" s="5">
        <f t="shared" si="1"/>
        <v>5958.333333</v>
      </c>
      <c r="E10" s="5">
        <f t="shared" si="1"/>
        <v>5958.333333</v>
      </c>
      <c r="F10" s="4"/>
      <c r="G10" s="4"/>
      <c r="H10" s="4"/>
      <c r="I10" s="4"/>
      <c r="J10" s="4"/>
      <c r="K10" s="4"/>
      <c r="L10" s="4"/>
    </row>
    <row r="11">
      <c r="A11" s="2" t="s">
        <v>17</v>
      </c>
      <c r="B11" s="5">
        <v>4200.81</v>
      </c>
      <c r="C11" s="3">
        <v>4200.81</v>
      </c>
      <c r="D11" s="3">
        <v>4200.81</v>
      </c>
      <c r="E11" s="3">
        <v>4200.81</v>
      </c>
      <c r="F11" s="3">
        <v>4200.81</v>
      </c>
      <c r="G11" s="3">
        <v>4200.81</v>
      </c>
      <c r="H11" s="4"/>
      <c r="I11" s="4"/>
      <c r="J11" s="4"/>
      <c r="K11" s="4"/>
      <c r="L11" s="4"/>
    </row>
    <row r="12">
      <c r="A12" s="2" t="s">
        <v>18</v>
      </c>
      <c r="B12" s="3">
        <v>831.67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2" t="s">
        <v>19</v>
      </c>
      <c r="B13" s="5">
        <v>339.73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2" t="s">
        <v>20</v>
      </c>
      <c r="B14" s="3">
        <v>410.0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6" t="s">
        <v>21</v>
      </c>
      <c r="B15" s="7">
        <f t="shared" ref="B15:I15" si="2">SUM(B2:B14)</f>
        <v>40774.06333</v>
      </c>
      <c r="C15" s="7">
        <f t="shared" si="2"/>
        <v>27036.14333</v>
      </c>
      <c r="D15" s="7">
        <f t="shared" si="2"/>
        <v>27036.14333</v>
      </c>
      <c r="E15" s="7">
        <f t="shared" si="2"/>
        <v>20628.14333</v>
      </c>
      <c r="F15" s="7">
        <f t="shared" si="2"/>
        <v>14669.81</v>
      </c>
      <c r="G15" s="7">
        <f t="shared" si="2"/>
        <v>14669.81</v>
      </c>
      <c r="H15" s="7">
        <f t="shared" si="2"/>
        <v>10469</v>
      </c>
      <c r="I15" s="7">
        <f t="shared" si="2"/>
        <v>10469</v>
      </c>
      <c r="J15" s="8"/>
      <c r="K15" s="8"/>
      <c r="L15" s="8"/>
    </row>
    <row r="17">
      <c r="C17" s="9"/>
      <c r="D17" s="9"/>
      <c r="E17" s="9"/>
      <c r="F17" s="9"/>
      <c r="G17" s="9"/>
      <c r="H17" s="9"/>
      <c r="I17" s="9"/>
    </row>
    <row r="18">
      <c r="A18" s="2"/>
      <c r="C18" s="2"/>
      <c r="D18" s="2"/>
      <c r="E18" s="2"/>
      <c r="F18" s="2"/>
      <c r="G18" s="2"/>
    </row>
    <row r="19">
      <c r="A19" s="2"/>
      <c r="C19" s="2"/>
      <c r="D19" s="2"/>
      <c r="E19" s="2"/>
      <c r="F19" s="2"/>
      <c r="G19" s="2"/>
      <c r="H19" s="2"/>
    </row>
    <row r="20">
      <c r="A20" s="2"/>
      <c r="C20" s="2"/>
      <c r="D20" s="2"/>
      <c r="E20" s="2"/>
      <c r="F20" s="2"/>
      <c r="G20" s="2"/>
      <c r="H20" s="2"/>
    </row>
    <row r="21">
      <c r="A21" s="2"/>
      <c r="C21" s="2"/>
      <c r="D21" s="2"/>
      <c r="E21" s="2"/>
      <c r="F21" s="2"/>
      <c r="G21" s="2"/>
      <c r="H21" s="2"/>
    </row>
    <row r="22">
      <c r="A22" s="2"/>
      <c r="C22" s="2"/>
      <c r="D22" s="2"/>
      <c r="E22" s="2"/>
      <c r="F22" s="2"/>
      <c r="G22" s="2"/>
      <c r="H22" s="2"/>
    </row>
    <row r="23">
      <c r="A23" s="2"/>
      <c r="C23" s="2"/>
      <c r="D23" s="2"/>
      <c r="E23" s="2"/>
      <c r="F23" s="2"/>
      <c r="G23" s="2"/>
      <c r="H23" s="2"/>
    </row>
    <row r="24">
      <c r="A24" s="9"/>
      <c r="B24" s="9"/>
      <c r="C24" s="9"/>
      <c r="D24" s="9"/>
      <c r="E24" s="9"/>
      <c r="F24" s="9"/>
      <c r="G24" s="9"/>
      <c r="H24" s="9"/>
    </row>
    <row r="25">
      <c r="A25" s="9"/>
      <c r="B25" s="9"/>
      <c r="C25" s="9"/>
      <c r="D25" s="9"/>
      <c r="E25" s="9"/>
      <c r="F25" s="9"/>
      <c r="G25" s="9"/>
      <c r="H25" s="9"/>
    </row>
    <row r="26">
      <c r="A26" s="9"/>
      <c r="B26" s="9"/>
      <c r="C26" s="9"/>
      <c r="D26" s="9"/>
      <c r="E26" s="9"/>
      <c r="F26" s="9"/>
      <c r="G26" s="9"/>
      <c r="H26" s="9"/>
    </row>
    <row r="27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>
      <c r="A28" s="2"/>
    </row>
    <row r="31">
      <c r="A3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3" max="3" width="14.29"/>
    <col customWidth="1" min="4" max="4" width="15.0"/>
    <col customWidth="1" min="8" max="8" width="24.14"/>
    <col customWidth="1" min="12" max="12" width="11.43"/>
    <col customWidth="1" min="22" max="22" width="16.71"/>
  </cols>
  <sheetData>
    <row r="1">
      <c r="B1" s="11" t="s">
        <v>22</v>
      </c>
      <c r="D1" s="9" t="s">
        <v>23</v>
      </c>
      <c r="F1" s="9"/>
      <c r="G1" s="11"/>
      <c r="H1" s="4"/>
      <c r="I1" s="4"/>
      <c r="J1" s="4"/>
      <c r="K1" s="2"/>
    </row>
    <row r="2" ht="16.5" customHeight="1">
      <c r="A2" s="2" t="s">
        <v>24</v>
      </c>
      <c r="B2" s="4">
        <v>53000.0</v>
      </c>
      <c r="C2" s="12" t="s">
        <v>25</v>
      </c>
      <c r="D2" s="4">
        <v>53000.0</v>
      </c>
      <c r="H2" s="4"/>
      <c r="K2" s="4"/>
      <c r="R2" s="4"/>
      <c r="S2" s="4"/>
      <c r="T2" s="4"/>
      <c r="U2" s="4"/>
      <c r="V2" s="4"/>
    </row>
    <row r="3">
      <c r="A3" s="2" t="s">
        <v>26</v>
      </c>
      <c r="B3" s="4">
        <v>28777.26</v>
      </c>
      <c r="C3" s="12" t="s">
        <v>25</v>
      </c>
      <c r="D3" s="4">
        <f>41029-4000-13333-5000-3333-4382</f>
        <v>10981</v>
      </c>
      <c r="H3" s="4"/>
      <c r="I3" s="4"/>
      <c r="J3" s="4"/>
      <c r="K3" s="4"/>
      <c r="R3" s="4"/>
      <c r="S3" s="4"/>
      <c r="T3" s="4"/>
      <c r="U3" s="4"/>
      <c r="V3" s="4"/>
    </row>
    <row r="4">
      <c r="A4" s="2" t="s">
        <v>13</v>
      </c>
      <c r="B4" s="4">
        <v>3625.89</v>
      </c>
      <c r="C4" s="12" t="s">
        <v>25</v>
      </c>
      <c r="D4" s="4">
        <v>0.0</v>
      </c>
      <c r="H4" s="4"/>
      <c r="K4" s="4"/>
      <c r="R4" s="4"/>
      <c r="S4" s="4"/>
      <c r="T4" s="4"/>
      <c r="U4" s="4"/>
      <c r="V4" s="4"/>
    </row>
    <row r="5">
      <c r="A5" s="2" t="s">
        <v>27</v>
      </c>
      <c r="B5" s="4">
        <v>30988.39</v>
      </c>
      <c r="C5" s="12" t="s">
        <v>25</v>
      </c>
      <c r="D5" s="4">
        <v>35500.0</v>
      </c>
      <c r="E5" s="4"/>
      <c r="H5" s="4"/>
      <c r="K5" s="4"/>
      <c r="R5" s="4"/>
      <c r="S5" s="4"/>
      <c r="T5" s="4"/>
      <c r="U5" s="4"/>
      <c r="V5" s="4"/>
    </row>
    <row r="6">
      <c r="A6" s="2" t="s">
        <v>28</v>
      </c>
      <c r="B6" s="4">
        <v>41352.0</v>
      </c>
      <c r="C6" s="12"/>
      <c r="D6" s="4">
        <v>26800.0</v>
      </c>
      <c r="E6" s="4"/>
      <c r="H6" s="4"/>
      <c r="I6" s="4"/>
      <c r="K6" s="4"/>
      <c r="R6" s="4"/>
      <c r="S6" s="4"/>
      <c r="T6" s="4"/>
      <c r="U6" s="4"/>
      <c r="V6" s="4"/>
    </row>
    <row r="7">
      <c r="A7" s="2" t="s">
        <v>8</v>
      </c>
      <c r="B7" s="4">
        <v>8000.0</v>
      </c>
      <c r="C7" s="12" t="s">
        <v>25</v>
      </c>
      <c r="D7" s="4">
        <v>8000.0</v>
      </c>
      <c r="E7" s="4"/>
      <c r="H7" s="4"/>
      <c r="I7" s="4"/>
      <c r="K7" s="4"/>
      <c r="R7" s="4"/>
      <c r="S7" s="4"/>
      <c r="T7" s="4"/>
      <c r="U7" s="4"/>
      <c r="V7" s="4"/>
    </row>
    <row r="8">
      <c r="A8" s="13" t="s">
        <v>29</v>
      </c>
      <c r="B8" s="14">
        <f>SUM(B2:B7)</f>
        <v>165743.54</v>
      </c>
      <c r="C8" s="12"/>
      <c r="D8" s="11">
        <f>SUM(D2:D7)</f>
        <v>134281</v>
      </c>
      <c r="E8" s="4"/>
      <c r="H8" s="4"/>
      <c r="I8" s="4"/>
      <c r="K8" s="4"/>
      <c r="R8" s="4"/>
      <c r="S8" s="4"/>
      <c r="T8" s="4"/>
      <c r="U8" s="4"/>
      <c r="V8" s="4"/>
    </row>
    <row r="9">
      <c r="A9" s="15" t="s">
        <v>30</v>
      </c>
      <c r="B9" s="16">
        <f>SUMIF(C2:C7,"&lt;&gt;Paid",B2:B7)</f>
        <v>41352</v>
      </c>
      <c r="C9" s="12"/>
      <c r="H9" s="4"/>
      <c r="I9" s="4"/>
      <c r="K9" s="4"/>
      <c r="R9" s="4"/>
      <c r="S9" s="4"/>
      <c r="T9" s="4"/>
      <c r="U9" s="4"/>
      <c r="V9" s="4"/>
    </row>
    <row r="10">
      <c r="A10" s="17" t="s">
        <v>31</v>
      </c>
      <c r="B10" s="18">
        <f>sumif(C2:C7,"Paid",B2:B7)</f>
        <v>124391.54</v>
      </c>
      <c r="H10" s="4"/>
      <c r="K10" s="4"/>
      <c r="R10" s="4"/>
      <c r="S10" s="4"/>
      <c r="T10" s="4"/>
      <c r="U10" s="4"/>
      <c r="V10" s="4"/>
    </row>
    <row r="11">
      <c r="H11" s="4"/>
      <c r="K11" s="4"/>
      <c r="M11" s="4"/>
      <c r="R11" s="4"/>
      <c r="S11" s="4"/>
      <c r="T11" s="4"/>
      <c r="U11" s="4"/>
      <c r="V11" s="4"/>
    </row>
    <row r="12">
      <c r="E12" s="4"/>
      <c r="H12" s="4"/>
      <c r="K12" s="4"/>
      <c r="R12" s="4"/>
      <c r="S12" s="4"/>
      <c r="T12" s="4"/>
      <c r="U12" s="4"/>
      <c r="V12" s="4"/>
    </row>
    <row r="13">
      <c r="H13" s="4"/>
      <c r="K13" s="4"/>
      <c r="M13" s="4"/>
      <c r="R13" s="4"/>
      <c r="S13" s="4"/>
      <c r="T13" s="4"/>
      <c r="U13" s="4"/>
      <c r="V13" s="4"/>
    </row>
    <row r="14">
      <c r="A14" s="9"/>
      <c r="B14" s="9"/>
      <c r="H14" s="4"/>
      <c r="K14" s="4"/>
      <c r="M14" s="4"/>
      <c r="R14" s="4"/>
      <c r="S14" s="4"/>
      <c r="T14" s="4"/>
      <c r="U14" s="4"/>
      <c r="V14" s="4"/>
    </row>
    <row r="15">
      <c r="I15" s="4"/>
      <c r="K15" s="19"/>
      <c r="M15" s="4"/>
      <c r="N15" s="4"/>
      <c r="O15" s="4"/>
      <c r="R15" s="4"/>
      <c r="S15" s="4"/>
      <c r="T15" s="4"/>
      <c r="U15" s="4"/>
      <c r="V15" s="4"/>
    </row>
    <row r="16">
      <c r="K16" s="4"/>
      <c r="M16" s="4"/>
      <c r="R16" s="4"/>
      <c r="S16" s="4"/>
      <c r="T16" s="4"/>
      <c r="U16" s="4"/>
      <c r="V16" s="4"/>
    </row>
    <row r="17">
      <c r="K17" s="4"/>
      <c r="M17" s="4"/>
      <c r="R17" s="4"/>
      <c r="S17" s="4"/>
      <c r="T17" s="4"/>
      <c r="U17" s="4"/>
      <c r="V17" s="4"/>
    </row>
    <row r="18">
      <c r="K18" s="4"/>
      <c r="M18" s="4"/>
      <c r="R18" s="4"/>
      <c r="S18" s="4"/>
      <c r="T18" s="4"/>
      <c r="U18" s="4"/>
      <c r="V18" s="4"/>
    </row>
    <row r="19">
      <c r="E19" s="20"/>
      <c r="K19" s="4"/>
      <c r="M19" s="4"/>
      <c r="S19" s="4"/>
      <c r="T19" s="4"/>
    </row>
    <row r="20">
      <c r="K20" s="4"/>
      <c r="M20" s="4"/>
      <c r="S20" s="4"/>
      <c r="T20" s="4"/>
    </row>
    <row r="21">
      <c r="F21" s="9"/>
      <c r="K21" s="4"/>
      <c r="M21" s="4"/>
      <c r="S21" s="4"/>
      <c r="T21" s="4"/>
    </row>
    <row r="22">
      <c r="K22" s="4"/>
      <c r="M22" s="4"/>
      <c r="S22" s="4"/>
      <c r="T22" s="4"/>
    </row>
    <row r="23">
      <c r="B23" s="21"/>
      <c r="C23" s="21"/>
      <c r="D23" s="21"/>
      <c r="E23" s="22"/>
      <c r="F23" s="23"/>
      <c r="K23" s="4"/>
      <c r="M23" s="4"/>
      <c r="S23" s="4"/>
      <c r="T23" s="4"/>
    </row>
    <row r="24">
      <c r="E24" s="4"/>
      <c r="K24" s="4"/>
      <c r="M24" s="4"/>
      <c r="S24" s="4"/>
      <c r="T24" s="4"/>
    </row>
    <row r="25">
      <c r="B25" s="4"/>
      <c r="C25" s="4"/>
      <c r="D25" s="4"/>
      <c r="E25" s="4"/>
      <c r="F25" s="19"/>
      <c r="K25" s="4"/>
      <c r="M25" s="4"/>
      <c r="S25" s="4"/>
      <c r="T25" s="4"/>
    </row>
    <row r="26">
      <c r="B26" s="19"/>
      <c r="C26" s="19"/>
      <c r="D26" s="19"/>
      <c r="E26" s="4"/>
      <c r="K26" s="4"/>
      <c r="M26" s="4"/>
      <c r="S26" s="4"/>
      <c r="T26" s="4"/>
    </row>
    <row r="27">
      <c r="A27" s="9"/>
      <c r="B27" s="11"/>
      <c r="C27" s="11"/>
      <c r="E27" s="4"/>
      <c r="K27" s="4"/>
      <c r="M27" s="4"/>
      <c r="S27" s="4"/>
      <c r="T27" s="4"/>
    </row>
    <row r="28">
      <c r="A28" s="9"/>
      <c r="B28" s="11"/>
      <c r="C28" s="11"/>
      <c r="E28" s="4"/>
      <c r="K28" s="4"/>
      <c r="M28" s="4"/>
      <c r="S28" s="4"/>
      <c r="T28" s="4"/>
    </row>
    <row r="29">
      <c r="A29" s="9"/>
      <c r="B29" s="11"/>
      <c r="C29" s="11"/>
      <c r="E29" s="4"/>
      <c r="K29" s="4"/>
      <c r="M29" s="4"/>
      <c r="S29" s="4"/>
      <c r="T29" s="4"/>
    </row>
    <row r="30">
      <c r="A30" s="9"/>
      <c r="B30" s="11"/>
      <c r="C30" s="11"/>
      <c r="E30" s="4"/>
      <c r="K30" s="4"/>
      <c r="M30" s="4"/>
      <c r="S30" s="4"/>
      <c r="T30" s="4"/>
    </row>
    <row r="31">
      <c r="A31" s="9"/>
      <c r="B31" s="11"/>
      <c r="C31" s="11"/>
      <c r="H31" s="4"/>
      <c r="K31" s="4"/>
      <c r="M31" s="4"/>
      <c r="S31" s="4"/>
      <c r="T31" s="4"/>
    </row>
    <row r="32">
      <c r="A32" s="9"/>
      <c r="B32" s="11"/>
      <c r="C32" s="11"/>
      <c r="K32" s="4"/>
      <c r="M32" s="4"/>
      <c r="S32" s="4"/>
      <c r="T32" s="4"/>
    </row>
    <row r="33">
      <c r="A33" s="9"/>
      <c r="B33" s="11"/>
      <c r="C33" s="11"/>
      <c r="K33" s="4"/>
      <c r="M33" s="4"/>
      <c r="S33" s="4"/>
      <c r="T33" s="4"/>
    </row>
    <row r="34">
      <c r="A34" s="9"/>
      <c r="B34" s="9"/>
      <c r="C34" s="11"/>
      <c r="H34" s="4"/>
      <c r="K34" s="4"/>
      <c r="M34" s="4"/>
      <c r="S34" s="4"/>
      <c r="T34" s="4"/>
    </row>
    <row r="35">
      <c r="D35" s="24"/>
      <c r="K35" s="4"/>
      <c r="S35" s="4"/>
      <c r="T35" s="4"/>
    </row>
    <row r="36">
      <c r="K36" s="4"/>
      <c r="S36" s="4"/>
      <c r="T36" s="4"/>
    </row>
    <row r="37">
      <c r="K37" s="4"/>
      <c r="M37" s="4"/>
      <c r="S37" s="4"/>
      <c r="T37" s="4"/>
    </row>
    <row r="38">
      <c r="K38" s="4"/>
      <c r="M38" s="4"/>
      <c r="S38" s="4"/>
      <c r="T38" s="4"/>
    </row>
    <row r="39">
      <c r="K39" s="4"/>
      <c r="M39" s="4"/>
      <c r="S39" s="4"/>
      <c r="T39" s="4"/>
    </row>
    <row r="40">
      <c r="K40" s="4"/>
      <c r="M40" s="4"/>
      <c r="S40" s="4"/>
      <c r="T40" s="4"/>
    </row>
    <row r="41">
      <c r="K41" s="4"/>
      <c r="M41" s="4"/>
      <c r="S41" s="4"/>
      <c r="T41" s="4"/>
    </row>
    <row r="42">
      <c r="K42" s="4"/>
      <c r="M42" s="4"/>
      <c r="S42" s="4"/>
      <c r="T42" s="4"/>
    </row>
    <row r="43">
      <c r="K43" s="4"/>
      <c r="M43" s="4"/>
      <c r="S43" s="4"/>
      <c r="T43" s="4"/>
    </row>
    <row r="44">
      <c r="K44" s="4"/>
      <c r="M44" s="4"/>
      <c r="S44" s="4"/>
      <c r="T44" s="4"/>
    </row>
    <row r="45">
      <c r="K45" s="4"/>
      <c r="M45" s="4"/>
      <c r="S45" s="4"/>
      <c r="T45" s="4"/>
    </row>
    <row r="46">
      <c r="K46" s="4"/>
      <c r="M46" s="4"/>
      <c r="S46" s="4"/>
      <c r="T46" s="4"/>
    </row>
    <row r="47">
      <c r="K47" s="4"/>
      <c r="M47" s="4"/>
      <c r="S47" s="4"/>
      <c r="T47" s="4"/>
    </row>
    <row r="48">
      <c r="K48" s="4"/>
      <c r="M48" s="4"/>
      <c r="S48" s="4"/>
      <c r="T48" s="4"/>
    </row>
    <row r="49">
      <c r="K49" s="4"/>
      <c r="M49" s="4"/>
      <c r="S49" s="4"/>
      <c r="T49" s="4"/>
    </row>
    <row r="50">
      <c r="K50" s="4"/>
      <c r="M50" s="4"/>
      <c r="S50" s="4"/>
      <c r="T50" s="4"/>
    </row>
    <row r="51">
      <c r="H51" s="25"/>
      <c r="I51" s="4"/>
      <c r="K51" s="4"/>
      <c r="M51" s="4"/>
      <c r="S51" s="4"/>
      <c r="T51" s="4"/>
    </row>
    <row r="52">
      <c r="H52" s="25"/>
      <c r="I52" s="4"/>
      <c r="K52" s="4"/>
      <c r="M52" s="4"/>
      <c r="S52" s="4"/>
      <c r="T52" s="4"/>
    </row>
    <row r="53">
      <c r="K53" s="4"/>
      <c r="M53" s="4"/>
      <c r="S53" s="4"/>
      <c r="T53" s="4"/>
    </row>
    <row r="54">
      <c r="K54" s="4"/>
      <c r="M54" s="4"/>
      <c r="S54" s="4"/>
      <c r="T54" s="4"/>
    </row>
    <row r="55">
      <c r="K55" s="4"/>
      <c r="M55" s="4"/>
      <c r="S55" s="4"/>
      <c r="T55" s="4"/>
    </row>
    <row r="56">
      <c r="K56" s="4"/>
      <c r="M56" s="4"/>
      <c r="S56" s="4"/>
      <c r="T56" s="4"/>
    </row>
    <row r="57">
      <c r="K57" s="4"/>
      <c r="M57" s="4"/>
      <c r="S57" s="4"/>
      <c r="T57" s="4"/>
    </row>
    <row r="58">
      <c r="K58" s="4"/>
      <c r="M58" s="4"/>
      <c r="S58" s="4"/>
      <c r="T58" s="4"/>
    </row>
    <row r="59">
      <c r="K59" s="4"/>
      <c r="M59" s="4"/>
      <c r="S59" s="4"/>
      <c r="T59" s="4"/>
    </row>
    <row r="60">
      <c r="K60" s="4"/>
      <c r="M60" s="4"/>
      <c r="S60" s="4"/>
      <c r="T60" s="4"/>
    </row>
    <row r="61">
      <c r="K61" s="4"/>
      <c r="M61" s="4"/>
      <c r="S61" s="4"/>
      <c r="T61" s="4"/>
    </row>
    <row r="62">
      <c r="K62" s="4"/>
      <c r="M62" s="4"/>
      <c r="S62" s="4"/>
      <c r="T62" s="4"/>
    </row>
    <row r="63">
      <c r="K63" s="4"/>
      <c r="M63" s="4"/>
      <c r="S63" s="4"/>
      <c r="T63" s="4"/>
    </row>
    <row r="64">
      <c r="K64" s="4"/>
      <c r="M64" s="4"/>
      <c r="S64" s="4"/>
      <c r="T64" s="4"/>
    </row>
    <row r="65">
      <c r="K65" s="4"/>
      <c r="M65" s="4"/>
      <c r="S65" s="4"/>
      <c r="T65" s="4"/>
    </row>
    <row r="66">
      <c r="K66" s="4"/>
      <c r="M66" s="4"/>
      <c r="S66" s="4"/>
      <c r="T66" s="4"/>
    </row>
    <row r="67">
      <c r="K67" s="4"/>
      <c r="M67" s="4"/>
      <c r="S67" s="4"/>
      <c r="T67" s="4"/>
    </row>
    <row r="68">
      <c r="K68" s="4"/>
      <c r="M68" s="4"/>
      <c r="S68" s="4"/>
      <c r="T68" s="4"/>
    </row>
    <row r="69">
      <c r="K69" s="4"/>
      <c r="M69" s="4"/>
      <c r="S69" s="4"/>
      <c r="T69" s="4"/>
    </row>
    <row r="70">
      <c r="K70" s="4"/>
      <c r="M70" s="4"/>
      <c r="S70" s="4"/>
      <c r="T70" s="4"/>
    </row>
    <row r="71">
      <c r="K71" s="4"/>
      <c r="M71" s="4"/>
      <c r="S71" s="4"/>
      <c r="T71" s="4"/>
    </row>
    <row r="72">
      <c r="K72" s="4"/>
      <c r="M72" s="4"/>
      <c r="S72" s="4"/>
      <c r="T72" s="4"/>
    </row>
    <row r="73">
      <c r="K73" s="4"/>
      <c r="M73" s="4"/>
      <c r="S73" s="4"/>
      <c r="T73" s="4"/>
    </row>
    <row r="74">
      <c r="K74" s="4"/>
      <c r="M74" s="4"/>
      <c r="S74" s="4"/>
      <c r="T74" s="4"/>
    </row>
    <row r="75">
      <c r="K75" s="4"/>
      <c r="M75" s="4"/>
      <c r="S75" s="4"/>
      <c r="T75" s="4"/>
    </row>
    <row r="76">
      <c r="K76" s="4"/>
      <c r="M76" s="4"/>
      <c r="S76" s="4"/>
      <c r="T76" s="4"/>
    </row>
    <row r="77">
      <c r="K77" s="4"/>
      <c r="M77" s="4"/>
      <c r="S77" s="4"/>
      <c r="T77" s="4"/>
    </row>
    <row r="78">
      <c r="K78" s="4"/>
      <c r="M78" s="4"/>
      <c r="S78" s="4"/>
      <c r="T78" s="4"/>
    </row>
    <row r="79">
      <c r="K79" s="4"/>
      <c r="M79" s="4"/>
      <c r="S79" s="4"/>
      <c r="T79" s="4"/>
    </row>
    <row r="80">
      <c r="K80" s="4"/>
      <c r="M80" s="4"/>
      <c r="S80" s="4"/>
      <c r="T80" s="4"/>
    </row>
    <row r="81">
      <c r="K81" s="4"/>
      <c r="M81" s="4"/>
      <c r="S81" s="4"/>
      <c r="T81" s="4"/>
    </row>
    <row r="82">
      <c r="J82" s="4"/>
      <c r="K82" s="4"/>
      <c r="M82" s="4"/>
      <c r="S82" s="4"/>
      <c r="T82" s="4"/>
    </row>
    <row r="83">
      <c r="J83" s="4"/>
      <c r="K83" s="4"/>
      <c r="M83" s="4"/>
      <c r="S83" s="4"/>
      <c r="T83" s="4"/>
    </row>
    <row r="84">
      <c r="J84" s="4"/>
      <c r="K84" s="4"/>
      <c r="M84" s="4"/>
      <c r="S84" s="4"/>
      <c r="T84" s="4"/>
    </row>
    <row r="85">
      <c r="J85" s="4"/>
      <c r="K85" s="4"/>
      <c r="M85" s="4"/>
      <c r="S85" s="4"/>
      <c r="T85" s="4"/>
    </row>
    <row r="86">
      <c r="J86" s="4"/>
      <c r="K86" s="4"/>
      <c r="M86" s="4"/>
      <c r="S86" s="4"/>
      <c r="T86" s="4"/>
    </row>
    <row r="87">
      <c r="J87" s="4"/>
      <c r="K87" s="4"/>
      <c r="M87" s="4"/>
      <c r="S87" s="4"/>
      <c r="T87" s="4"/>
    </row>
    <row r="88">
      <c r="J88" s="4"/>
      <c r="K88" s="4"/>
      <c r="M88" s="4"/>
      <c r="S88" s="4"/>
      <c r="T88" s="4"/>
    </row>
    <row r="89">
      <c r="J89" s="4"/>
      <c r="K89" s="4"/>
      <c r="M89" s="4"/>
      <c r="S89" s="4"/>
      <c r="T89" s="4"/>
    </row>
    <row r="90">
      <c r="J90" s="4"/>
      <c r="K90" s="4"/>
      <c r="M90" s="4"/>
      <c r="S90" s="4"/>
      <c r="T90" s="4"/>
    </row>
    <row r="91">
      <c r="J91" s="4"/>
      <c r="K91" s="4"/>
      <c r="M91" s="4"/>
      <c r="S91" s="4"/>
      <c r="T91" s="4"/>
    </row>
    <row r="92">
      <c r="J92" s="4"/>
      <c r="K92" s="4"/>
      <c r="M92" s="4"/>
      <c r="S92" s="4"/>
      <c r="T92" s="4"/>
    </row>
    <row r="93">
      <c r="J93" s="4"/>
      <c r="M93" s="4"/>
      <c r="S93" s="4"/>
      <c r="T93" s="4"/>
    </row>
    <row r="94">
      <c r="J94" s="4"/>
      <c r="M94" s="4"/>
      <c r="S94" s="4"/>
      <c r="T94" s="4"/>
    </row>
    <row r="95">
      <c r="J95" s="4"/>
      <c r="M95" s="4"/>
      <c r="S95" s="4"/>
      <c r="T95" s="4"/>
    </row>
    <row r="96">
      <c r="J96" s="4"/>
      <c r="M96" s="4"/>
      <c r="S96" s="4"/>
      <c r="T96" s="4"/>
    </row>
    <row r="97">
      <c r="J97" s="4"/>
      <c r="M97" s="4"/>
      <c r="S97" s="4"/>
      <c r="T97" s="4"/>
    </row>
    <row r="98">
      <c r="I98" s="4"/>
      <c r="J98" s="4"/>
      <c r="M98" s="4"/>
      <c r="S98" s="4"/>
      <c r="T98" s="4"/>
    </row>
    <row r="99">
      <c r="I99" s="4"/>
      <c r="J99" s="4"/>
      <c r="M99" s="4"/>
      <c r="S99" s="4"/>
      <c r="T99" s="4"/>
    </row>
    <row r="100">
      <c r="I100" s="4"/>
      <c r="J100" s="4"/>
      <c r="M100" s="4"/>
      <c r="S100" s="4"/>
      <c r="T100" s="4"/>
    </row>
    <row r="101">
      <c r="I101" s="4"/>
      <c r="J101" s="4"/>
      <c r="M101" s="4"/>
      <c r="S101" s="4"/>
      <c r="T101" s="4"/>
    </row>
    <row r="102">
      <c r="I102" s="4"/>
      <c r="J102" s="4"/>
      <c r="M102" s="4"/>
      <c r="S102" s="4"/>
      <c r="T102" s="4"/>
    </row>
    <row r="103">
      <c r="I103" s="4"/>
      <c r="J103" s="4"/>
      <c r="M103" s="4"/>
      <c r="S103" s="4"/>
      <c r="T103" s="4"/>
    </row>
    <row r="104">
      <c r="I104" s="4"/>
      <c r="J104" s="4"/>
      <c r="M104" s="4"/>
      <c r="S104" s="4"/>
      <c r="T104" s="4"/>
    </row>
    <row r="105">
      <c r="I105" s="4"/>
      <c r="J105" s="4"/>
      <c r="M105" s="4"/>
      <c r="S105" s="4"/>
      <c r="T105" s="4"/>
    </row>
    <row r="106">
      <c r="I106" s="4"/>
      <c r="J106" s="4"/>
      <c r="M106" s="4"/>
      <c r="S106" s="4"/>
      <c r="T106" s="4"/>
    </row>
    <row r="107">
      <c r="I107" s="4"/>
      <c r="J107" s="4"/>
      <c r="M107" s="4"/>
      <c r="S107" s="4"/>
      <c r="T107" s="4"/>
    </row>
    <row r="108">
      <c r="I108" s="4"/>
      <c r="J108" s="4"/>
      <c r="M108" s="4"/>
      <c r="S108" s="4"/>
      <c r="T108" s="4"/>
    </row>
    <row r="109">
      <c r="I109" s="4"/>
      <c r="J109" s="4"/>
      <c r="M109" s="4"/>
      <c r="S109" s="4"/>
      <c r="T109" s="4"/>
    </row>
    <row r="110">
      <c r="I110" s="4"/>
      <c r="J110" s="4"/>
      <c r="M110" s="4"/>
      <c r="S110" s="4"/>
      <c r="T110" s="4"/>
    </row>
    <row r="111">
      <c r="I111" s="4"/>
      <c r="J111" s="4"/>
      <c r="M111" s="4"/>
      <c r="S111" s="4"/>
      <c r="T111" s="4"/>
    </row>
    <row r="112">
      <c r="I112" s="4"/>
      <c r="J112" s="4"/>
      <c r="M112" s="4"/>
      <c r="S112" s="4"/>
      <c r="T112" s="4"/>
    </row>
    <row r="113">
      <c r="I113" s="4"/>
      <c r="J113" s="4"/>
      <c r="M113" s="4"/>
      <c r="S113" s="4"/>
      <c r="T113" s="4"/>
    </row>
    <row r="114">
      <c r="M114" s="4"/>
      <c r="S114" s="4"/>
      <c r="T114" s="4"/>
    </row>
    <row r="115">
      <c r="M115" s="4"/>
      <c r="S115" s="4"/>
      <c r="T115" s="4"/>
    </row>
    <row r="116">
      <c r="M116" s="4"/>
      <c r="S116" s="4"/>
      <c r="T116" s="4"/>
    </row>
    <row r="117">
      <c r="S117" s="4"/>
      <c r="T117" s="4"/>
    </row>
    <row r="118">
      <c r="S118" s="4"/>
      <c r="T118" s="4"/>
    </row>
    <row r="119">
      <c r="S119" s="4"/>
      <c r="T119" s="4"/>
    </row>
    <row r="120">
      <c r="S120" s="4"/>
      <c r="T120" s="4"/>
    </row>
    <row r="121">
      <c r="S121" s="4"/>
      <c r="T121" s="4"/>
    </row>
    <row r="122">
      <c r="S122" s="4"/>
      <c r="T122" s="4"/>
    </row>
    <row r="123">
      <c r="S123" s="4"/>
      <c r="T123" s="4"/>
    </row>
    <row r="124">
      <c r="S124" s="4"/>
      <c r="T124" s="4"/>
    </row>
    <row r="125">
      <c r="S125" s="4"/>
      <c r="T125" s="4"/>
    </row>
    <row r="126">
      <c r="S126" s="4"/>
      <c r="T126" s="4"/>
    </row>
    <row r="127">
      <c r="S127" s="4"/>
      <c r="T127" s="4"/>
    </row>
    <row r="128">
      <c r="S128" s="4"/>
      <c r="T128" s="4"/>
    </row>
    <row r="129">
      <c r="S129" s="4"/>
      <c r="T129" s="4"/>
    </row>
    <row r="130">
      <c r="S130" s="4"/>
      <c r="T130" s="4"/>
    </row>
    <row r="131">
      <c r="S131" s="4"/>
      <c r="T131" s="4"/>
    </row>
    <row r="132">
      <c r="S132" s="4"/>
      <c r="T132" s="4"/>
    </row>
    <row r="133">
      <c r="S133" s="4"/>
      <c r="T133" s="4"/>
    </row>
    <row r="134">
      <c r="S134" s="4"/>
      <c r="T134" s="4"/>
    </row>
    <row r="135">
      <c r="S135" s="4"/>
      <c r="T135" s="4"/>
    </row>
    <row r="136">
      <c r="S136" s="4"/>
      <c r="T136" s="4"/>
    </row>
    <row r="137">
      <c r="S137" s="4"/>
      <c r="T137" s="4"/>
    </row>
    <row r="138">
      <c r="S138" s="4"/>
      <c r="T138" s="4"/>
    </row>
    <row r="139">
      <c r="S139" s="4"/>
      <c r="T139" s="4"/>
    </row>
    <row r="140">
      <c r="S140" s="4"/>
      <c r="T140" s="4"/>
    </row>
    <row r="141">
      <c r="S141" s="4"/>
      <c r="T141" s="4"/>
    </row>
    <row r="142">
      <c r="S142" s="4"/>
      <c r="T142" s="4"/>
    </row>
    <row r="143">
      <c r="S143" s="4"/>
      <c r="T143" s="4"/>
    </row>
    <row r="144">
      <c r="S144" s="4"/>
      <c r="T144" s="4"/>
    </row>
    <row r="145">
      <c r="S145" s="4"/>
      <c r="T145" s="4"/>
    </row>
    <row r="146">
      <c r="S146" s="4"/>
      <c r="T146" s="4"/>
    </row>
    <row r="147">
      <c r="S147" s="4"/>
      <c r="T147" s="4"/>
    </row>
    <row r="148">
      <c r="S148" s="4"/>
      <c r="T148" s="4"/>
    </row>
    <row r="149">
      <c r="S149" s="4"/>
      <c r="T149" s="4"/>
    </row>
    <row r="150">
      <c r="S150" s="4"/>
      <c r="T150" s="4"/>
    </row>
    <row r="151">
      <c r="S151" s="4"/>
      <c r="T151" s="4"/>
    </row>
    <row r="152">
      <c r="S152" s="4"/>
      <c r="T152" s="4"/>
    </row>
    <row r="153">
      <c r="S153" s="4"/>
      <c r="T153" s="4"/>
    </row>
    <row r="154">
      <c r="S154" s="4"/>
      <c r="T154" s="4"/>
    </row>
    <row r="155">
      <c r="S155" s="4"/>
      <c r="T155" s="4"/>
    </row>
    <row r="156">
      <c r="S156" s="4"/>
      <c r="T156" s="4"/>
    </row>
    <row r="157">
      <c r="S157" s="4"/>
      <c r="T157" s="4"/>
    </row>
    <row r="158">
      <c r="S158" s="4"/>
      <c r="T158" s="4"/>
    </row>
    <row r="159">
      <c r="S159" s="4"/>
      <c r="T159" s="4"/>
    </row>
    <row r="160">
      <c r="S160" s="4"/>
      <c r="T160" s="4"/>
    </row>
    <row r="161">
      <c r="S161" s="4"/>
      <c r="T161" s="4"/>
    </row>
    <row r="162">
      <c r="S162" s="4"/>
      <c r="T162" s="4"/>
    </row>
    <row r="163">
      <c r="S163" s="4"/>
      <c r="T163" s="4"/>
    </row>
    <row r="164">
      <c r="S164" s="4"/>
      <c r="T164" s="4"/>
    </row>
    <row r="165">
      <c r="S165" s="4"/>
      <c r="T165" s="4"/>
    </row>
    <row r="166">
      <c r="S166" s="4"/>
      <c r="T166" s="4"/>
    </row>
    <row r="167">
      <c r="S167" s="4"/>
      <c r="T167" s="4"/>
    </row>
    <row r="168">
      <c r="S168" s="4"/>
      <c r="T168" s="4"/>
    </row>
    <row r="169">
      <c r="S169" s="4"/>
      <c r="T169" s="4"/>
    </row>
    <row r="170">
      <c r="S170" s="4"/>
      <c r="T170" s="4"/>
    </row>
    <row r="171">
      <c r="S171" s="4"/>
      <c r="T171" s="4"/>
    </row>
    <row r="172">
      <c r="S172" s="4"/>
      <c r="T172" s="4"/>
    </row>
    <row r="173">
      <c r="S173" s="4"/>
      <c r="T173" s="4"/>
    </row>
    <row r="174">
      <c r="S174" s="4"/>
      <c r="T174" s="4"/>
    </row>
    <row r="175">
      <c r="S175" s="4"/>
      <c r="T175" s="4"/>
    </row>
    <row r="176">
      <c r="S176" s="4"/>
      <c r="T176" s="4"/>
    </row>
    <row r="177">
      <c r="S177" s="4"/>
      <c r="T177" s="4"/>
    </row>
    <row r="178">
      <c r="S178" s="4"/>
      <c r="T178" s="4"/>
    </row>
    <row r="179">
      <c r="S179" s="4"/>
      <c r="T179" s="4"/>
    </row>
    <row r="180">
      <c r="S180" s="4"/>
      <c r="T180" s="4"/>
    </row>
    <row r="181">
      <c r="S181" s="4"/>
      <c r="T181" s="4"/>
    </row>
    <row r="182">
      <c r="S182" s="4"/>
      <c r="T182" s="4"/>
    </row>
    <row r="183">
      <c r="S183" s="4"/>
      <c r="T183" s="4"/>
    </row>
    <row r="184">
      <c r="S184" s="4"/>
      <c r="T184" s="4"/>
    </row>
    <row r="185">
      <c r="S185" s="4"/>
      <c r="T185" s="4"/>
    </row>
    <row r="186">
      <c r="S186" s="4"/>
      <c r="T186" s="4"/>
    </row>
    <row r="187">
      <c r="S187" s="4"/>
      <c r="T187" s="4"/>
    </row>
    <row r="188">
      <c r="S188" s="4"/>
      <c r="T188" s="4"/>
    </row>
    <row r="189">
      <c r="S189" s="4"/>
      <c r="T189" s="4"/>
    </row>
    <row r="190">
      <c r="S190" s="4"/>
      <c r="T190" s="4"/>
    </row>
    <row r="191">
      <c r="S191" s="4"/>
      <c r="T191" s="4"/>
    </row>
    <row r="192">
      <c r="S192" s="4"/>
      <c r="T192" s="4"/>
    </row>
    <row r="193">
      <c r="S193" s="4"/>
      <c r="T193" s="4"/>
    </row>
    <row r="194">
      <c r="S194" s="4"/>
      <c r="T194" s="4"/>
    </row>
    <row r="195">
      <c r="S195" s="4"/>
      <c r="T195" s="4"/>
    </row>
    <row r="196">
      <c r="S196" s="4"/>
      <c r="T196" s="4"/>
    </row>
    <row r="197">
      <c r="S197" s="4"/>
      <c r="T197" s="4"/>
    </row>
    <row r="198">
      <c r="S198" s="4"/>
      <c r="T198" s="4"/>
    </row>
    <row r="199">
      <c r="S199" s="4"/>
      <c r="T199" s="4"/>
    </row>
    <row r="200">
      <c r="S200" s="4"/>
      <c r="T200" s="4"/>
    </row>
    <row r="201">
      <c r="S201" s="4"/>
      <c r="T201" s="4"/>
    </row>
    <row r="202">
      <c r="S202" s="4"/>
      <c r="T202" s="4"/>
    </row>
    <row r="203">
      <c r="S203" s="4"/>
      <c r="T203" s="4"/>
    </row>
    <row r="204">
      <c r="S204" s="4"/>
      <c r="T204" s="4"/>
    </row>
    <row r="205">
      <c r="S205" s="4"/>
      <c r="T205" s="4"/>
    </row>
    <row r="206">
      <c r="S206" s="4"/>
      <c r="T206" s="4"/>
    </row>
    <row r="207">
      <c r="S207" s="4"/>
      <c r="T207" s="4"/>
    </row>
    <row r="208">
      <c r="S208" s="4"/>
      <c r="T208" s="4"/>
    </row>
    <row r="209">
      <c r="S209" s="4"/>
      <c r="T209" s="4"/>
    </row>
    <row r="210">
      <c r="S210" s="4"/>
      <c r="T210" s="4"/>
    </row>
    <row r="211">
      <c r="S211" s="4"/>
      <c r="T211" s="4"/>
    </row>
    <row r="212">
      <c r="S212" s="4"/>
      <c r="T212" s="4"/>
    </row>
    <row r="213">
      <c r="S213" s="4"/>
      <c r="T213" s="4"/>
    </row>
    <row r="214">
      <c r="S214" s="4"/>
      <c r="T214" s="4"/>
    </row>
    <row r="215">
      <c r="S215" s="4"/>
      <c r="T215" s="4"/>
    </row>
    <row r="216">
      <c r="S216" s="4"/>
      <c r="T216" s="4"/>
    </row>
    <row r="217">
      <c r="S217" s="4"/>
      <c r="T217" s="4"/>
    </row>
    <row r="218">
      <c r="S218" s="4"/>
      <c r="T218" s="4"/>
    </row>
    <row r="219">
      <c r="S219" s="4"/>
      <c r="T219" s="4"/>
    </row>
    <row r="220">
      <c r="S220" s="4"/>
      <c r="T220" s="4"/>
    </row>
    <row r="221">
      <c r="S221" s="4"/>
      <c r="T221" s="4"/>
    </row>
    <row r="222">
      <c r="S222" s="4"/>
      <c r="T222" s="4"/>
    </row>
    <row r="223">
      <c r="S223" s="4"/>
      <c r="T223" s="4"/>
    </row>
    <row r="224">
      <c r="S224" s="4"/>
      <c r="T224" s="4"/>
    </row>
    <row r="225">
      <c r="S225" s="4"/>
      <c r="T225" s="4"/>
    </row>
    <row r="226">
      <c r="S226" s="4"/>
      <c r="T226" s="4"/>
    </row>
    <row r="227">
      <c r="S227" s="4"/>
      <c r="T227" s="4"/>
    </row>
    <row r="228">
      <c r="S228" s="4"/>
      <c r="T228" s="4"/>
    </row>
    <row r="229">
      <c r="S229" s="4"/>
      <c r="T229" s="4"/>
    </row>
    <row r="230">
      <c r="S230" s="4"/>
      <c r="T230" s="4"/>
    </row>
    <row r="231">
      <c r="S231" s="4"/>
      <c r="T231" s="4"/>
    </row>
    <row r="232">
      <c r="S232" s="4"/>
      <c r="T232" s="4"/>
    </row>
    <row r="233">
      <c r="S233" s="4"/>
      <c r="T233" s="4"/>
    </row>
    <row r="234">
      <c r="S234" s="4"/>
      <c r="T234" s="4"/>
    </row>
    <row r="235">
      <c r="S235" s="4"/>
      <c r="T235" s="4"/>
    </row>
    <row r="236">
      <c r="S236" s="4"/>
      <c r="T236" s="4"/>
    </row>
    <row r="237">
      <c r="S237" s="4"/>
      <c r="T237" s="4"/>
    </row>
    <row r="238">
      <c r="S238" s="4"/>
      <c r="T238" s="4"/>
    </row>
    <row r="239">
      <c r="S239" s="4"/>
      <c r="T239" s="4"/>
    </row>
    <row r="240">
      <c r="S240" s="4"/>
      <c r="T240" s="4"/>
    </row>
    <row r="241">
      <c r="S241" s="4"/>
      <c r="T241" s="4"/>
    </row>
    <row r="242">
      <c r="S242" s="4"/>
      <c r="T242" s="4"/>
    </row>
    <row r="243">
      <c r="S243" s="4"/>
      <c r="T243" s="4"/>
    </row>
    <row r="244">
      <c r="S244" s="4"/>
      <c r="T244" s="4"/>
    </row>
    <row r="245">
      <c r="S245" s="4"/>
      <c r="T245" s="4"/>
    </row>
    <row r="246">
      <c r="S246" s="4"/>
      <c r="T246" s="4"/>
    </row>
    <row r="247">
      <c r="S247" s="4"/>
      <c r="T247" s="4"/>
    </row>
    <row r="248">
      <c r="S248" s="4"/>
      <c r="T248" s="4"/>
    </row>
    <row r="249">
      <c r="S249" s="4"/>
      <c r="T249" s="4"/>
    </row>
    <row r="250">
      <c r="S250" s="4"/>
      <c r="T250" s="4"/>
    </row>
    <row r="251">
      <c r="S251" s="4"/>
      <c r="T251" s="4"/>
    </row>
    <row r="252">
      <c r="S252" s="4"/>
      <c r="T252" s="4"/>
    </row>
    <row r="253">
      <c r="S253" s="4"/>
      <c r="T253" s="4"/>
    </row>
    <row r="254">
      <c r="S254" s="4"/>
      <c r="T254" s="4"/>
    </row>
    <row r="255">
      <c r="S255" s="4"/>
      <c r="T255" s="4"/>
    </row>
    <row r="256">
      <c r="S256" s="4"/>
      <c r="T256" s="4"/>
    </row>
    <row r="257">
      <c r="S257" s="4"/>
      <c r="T257" s="4"/>
    </row>
    <row r="258">
      <c r="S258" s="4"/>
      <c r="T258" s="4"/>
    </row>
    <row r="259">
      <c r="S259" s="4"/>
      <c r="T259" s="4"/>
    </row>
    <row r="260">
      <c r="S260" s="4"/>
      <c r="T260" s="4"/>
    </row>
    <row r="261">
      <c r="S261" s="4"/>
      <c r="T261" s="4"/>
    </row>
    <row r="262">
      <c r="S262" s="4"/>
      <c r="T262" s="4"/>
    </row>
    <row r="263">
      <c r="S263" s="4"/>
      <c r="T263" s="4"/>
    </row>
    <row r="264">
      <c r="S264" s="4"/>
      <c r="T264" s="4"/>
    </row>
    <row r="265">
      <c r="S265" s="4"/>
      <c r="T265" s="4"/>
    </row>
    <row r="266">
      <c r="S266" s="4"/>
      <c r="T266" s="4"/>
    </row>
    <row r="267">
      <c r="S267" s="4"/>
      <c r="T267" s="4"/>
    </row>
    <row r="268">
      <c r="S268" s="4"/>
      <c r="T268" s="4"/>
    </row>
    <row r="269">
      <c r="S269" s="4"/>
      <c r="T269" s="4"/>
    </row>
    <row r="270">
      <c r="S270" s="4"/>
      <c r="T270" s="4"/>
    </row>
    <row r="271">
      <c r="S271" s="4"/>
      <c r="T271" s="4"/>
    </row>
    <row r="272">
      <c r="S272" s="4"/>
      <c r="T272" s="4"/>
    </row>
    <row r="273">
      <c r="S273" s="4"/>
      <c r="T273" s="4"/>
    </row>
    <row r="274">
      <c r="S274" s="4"/>
      <c r="T274" s="4"/>
    </row>
    <row r="275">
      <c r="S275" s="4"/>
      <c r="T275" s="4"/>
    </row>
    <row r="276">
      <c r="S276" s="4"/>
      <c r="T276" s="4"/>
    </row>
    <row r="277">
      <c r="S277" s="4"/>
      <c r="T277" s="4"/>
    </row>
    <row r="278">
      <c r="S278" s="4"/>
      <c r="T278" s="4"/>
    </row>
    <row r="279">
      <c r="S279" s="4"/>
      <c r="T279" s="4"/>
    </row>
    <row r="280">
      <c r="S280" s="4"/>
      <c r="T280" s="4"/>
    </row>
    <row r="281">
      <c r="S281" s="4"/>
      <c r="T281" s="4"/>
    </row>
    <row r="282">
      <c r="S282" s="4"/>
      <c r="T282" s="4"/>
    </row>
    <row r="283">
      <c r="S283" s="4"/>
      <c r="T283" s="4"/>
    </row>
    <row r="284">
      <c r="S284" s="4"/>
      <c r="T284" s="4"/>
    </row>
    <row r="285">
      <c r="S285" s="4"/>
      <c r="T285" s="4"/>
    </row>
    <row r="286">
      <c r="S286" s="4"/>
      <c r="T286" s="4"/>
    </row>
    <row r="287">
      <c r="S287" s="4"/>
      <c r="T287" s="4"/>
    </row>
    <row r="288">
      <c r="S288" s="4"/>
      <c r="T288" s="4"/>
    </row>
    <row r="289">
      <c r="S289" s="4"/>
      <c r="T289" s="4"/>
    </row>
    <row r="290">
      <c r="S290" s="4"/>
      <c r="T290" s="4"/>
    </row>
    <row r="291">
      <c r="S291" s="4"/>
      <c r="T291" s="4"/>
    </row>
    <row r="292">
      <c r="S292" s="4"/>
      <c r="T292" s="4"/>
    </row>
    <row r="293">
      <c r="S293" s="4"/>
      <c r="T293" s="4"/>
    </row>
    <row r="294">
      <c r="S294" s="4"/>
      <c r="T294" s="4"/>
    </row>
    <row r="295">
      <c r="S295" s="4"/>
      <c r="T295" s="4"/>
    </row>
    <row r="296">
      <c r="S296" s="4"/>
      <c r="T296" s="4"/>
    </row>
    <row r="297">
      <c r="S297" s="4"/>
      <c r="T297" s="4"/>
    </row>
    <row r="298">
      <c r="S298" s="4"/>
      <c r="T298" s="4"/>
    </row>
    <row r="299">
      <c r="S299" s="4"/>
      <c r="T299" s="4"/>
    </row>
    <row r="300">
      <c r="S300" s="4"/>
      <c r="T300" s="4"/>
    </row>
    <row r="301">
      <c r="S301" s="4"/>
      <c r="T301" s="4"/>
    </row>
    <row r="302">
      <c r="S302" s="4"/>
      <c r="T302" s="4"/>
    </row>
    <row r="303">
      <c r="S303" s="4"/>
      <c r="T303" s="4"/>
    </row>
    <row r="304">
      <c r="S304" s="4"/>
      <c r="T304" s="4"/>
    </row>
    <row r="305">
      <c r="S305" s="4"/>
      <c r="T305" s="4"/>
    </row>
    <row r="306">
      <c r="S306" s="4"/>
      <c r="T306" s="4"/>
    </row>
    <row r="307">
      <c r="S307" s="4"/>
      <c r="T307" s="4"/>
    </row>
    <row r="308">
      <c r="S308" s="4"/>
      <c r="T308" s="4"/>
    </row>
    <row r="309">
      <c r="S309" s="4"/>
      <c r="T309" s="4"/>
    </row>
    <row r="310">
      <c r="S310" s="4"/>
      <c r="T310" s="4"/>
    </row>
    <row r="311">
      <c r="S311" s="4"/>
      <c r="T311" s="4"/>
    </row>
    <row r="312">
      <c r="S312" s="4"/>
      <c r="T312" s="4"/>
    </row>
    <row r="313">
      <c r="S313" s="4"/>
      <c r="T313" s="4"/>
    </row>
    <row r="314">
      <c r="S314" s="4"/>
      <c r="T314" s="4"/>
    </row>
    <row r="315">
      <c r="S315" s="4"/>
      <c r="T315" s="4"/>
    </row>
    <row r="316">
      <c r="S316" s="4"/>
      <c r="T316" s="4"/>
    </row>
    <row r="317">
      <c r="S317" s="4"/>
      <c r="T317" s="4"/>
    </row>
    <row r="318">
      <c r="S318" s="4"/>
      <c r="T318" s="4"/>
    </row>
    <row r="319">
      <c r="S319" s="4"/>
      <c r="T319" s="4"/>
    </row>
    <row r="320">
      <c r="S320" s="4"/>
      <c r="T320" s="4"/>
    </row>
    <row r="321">
      <c r="S321" s="4"/>
      <c r="T321" s="4"/>
    </row>
    <row r="322">
      <c r="S322" s="4"/>
      <c r="T322" s="4"/>
    </row>
    <row r="323">
      <c r="S323" s="4"/>
      <c r="T323" s="4"/>
    </row>
    <row r="324">
      <c r="S324" s="4"/>
      <c r="T324" s="4"/>
    </row>
    <row r="325">
      <c r="S325" s="4"/>
      <c r="T325" s="4"/>
    </row>
    <row r="326">
      <c r="S326" s="4"/>
      <c r="T326" s="4"/>
    </row>
    <row r="327">
      <c r="S327" s="4"/>
      <c r="T327" s="4"/>
    </row>
    <row r="328">
      <c r="S328" s="4"/>
      <c r="T328" s="4"/>
    </row>
    <row r="329">
      <c r="S329" s="4"/>
      <c r="T329" s="4"/>
    </row>
    <row r="330">
      <c r="S330" s="4"/>
      <c r="T330" s="4"/>
    </row>
    <row r="331">
      <c r="S331" s="4"/>
      <c r="T331" s="4"/>
    </row>
    <row r="332">
      <c r="S332" s="4"/>
      <c r="T332" s="4"/>
    </row>
    <row r="333">
      <c r="S333" s="4"/>
      <c r="T333" s="4"/>
    </row>
    <row r="334">
      <c r="S334" s="4"/>
      <c r="T334" s="4"/>
    </row>
    <row r="335">
      <c r="S335" s="4"/>
      <c r="T335" s="4"/>
    </row>
    <row r="336">
      <c r="S336" s="4"/>
      <c r="T336" s="4"/>
    </row>
    <row r="337">
      <c r="S337" s="4"/>
      <c r="T337" s="4"/>
    </row>
    <row r="338">
      <c r="S338" s="4"/>
      <c r="T338" s="4"/>
    </row>
    <row r="339">
      <c r="S339" s="4"/>
      <c r="T339" s="4"/>
    </row>
    <row r="340">
      <c r="S340" s="4"/>
      <c r="T340" s="4"/>
    </row>
    <row r="341">
      <c r="S341" s="4"/>
      <c r="T341" s="4"/>
    </row>
    <row r="342">
      <c r="S342" s="4"/>
      <c r="T342" s="4"/>
    </row>
    <row r="343">
      <c r="S343" s="4"/>
      <c r="T343" s="4"/>
    </row>
    <row r="344">
      <c r="S344" s="4"/>
      <c r="T344" s="4"/>
    </row>
    <row r="345">
      <c r="S345" s="4"/>
      <c r="T345" s="4"/>
    </row>
    <row r="346">
      <c r="S346" s="4"/>
      <c r="T346" s="4"/>
    </row>
    <row r="347">
      <c r="S347" s="4"/>
      <c r="T347" s="4"/>
    </row>
    <row r="348">
      <c r="S348" s="4"/>
      <c r="T348" s="4"/>
    </row>
    <row r="349">
      <c r="S349" s="4"/>
      <c r="T349" s="4"/>
    </row>
    <row r="350">
      <c r="S350" s="4"/>
      <c r="T350" s="4"/>
    </row>
    <row r="351">
      <c r="S351" s="4"/>
      <c r="T351" s="4"/>
    </row>
    <row r="352">
      <c r="S352" s="4"/>
      <c r="T352" s="4"/>
    </row>
    <row r="353">
      <c r="S353" s="4"/>
      <c r="T353" s="4"/>
    </row>
    <row r="354">
      <c r="S354" s="4"/>
      <c r="T354" s="4"/>
    </row>
    <row r="355">
      <c r="S355" s="4"/>
      <c r="T355" s="4"/>
    </row>
    <row r="356">
      <c r="S356" s="4"/>
      <c r="T356" s="4"/>
    </row>
    <row r="357">
      <c r="S357" s="4"/>
      <c r="T357" s="4"/>
    </row>
    <row r="358">
      <c r="S358" s="4"/>
      <c r="T358" s="4"/>
    </row>
    <row r="359">
      <c r="S359" s="4"/>
      <c r="T359" s="4"/>
    </row>
    <row r="360">
      <c r="S360" s="4"/>
      <c r="T360" s="4"/>
    </row>
    <row r="361">
      <c r="S361" s="4"/>
      <c r="T361" s="4"/>
    </row>
    <row r="362">
      <c r="S362" s="4"/>
      <c r="T362" s="4"/>
    </row>
    <row r="363">
      <c r="S363" s="4"/>
      <c r="T363" s="4"/>
    </row>
    <row r="364">
      <c r="S364" s="4"/>
      <c r="T364" s="4"/>
    </row>
    <row r="365">
      <c r="S365" s="4"/>
      <c r="T365" s="4"/>
    </row>
    <row r="366">
      <c r="S366" s="4"/>
      <c r="T366" s="4"/>
    </row>
    <row r="367">
      <c r="S367" s="4"/>
      <c r="T367" s="4"/>
    </row>
    <row r="368">
      <c r="S368" s="4"/>
      <c r="T368" s="4"/>
    </row>
    <row r="369">
      <c r="S369" s="4"/>
      <c r="T369" s="4"/>
    </row>
    <row r="370">
      <c r="S370" s="4"/>
      <c r="T370" s="4"/>
    </row>
    <row r="371">
      <c r="T371" s="4"/>
    </row>
    <row r="372">
      <c r="T372" s="4"/>
    </row>
    <row r="373">
      <c r="T37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E3" s="2" t="s">
        <v>24</v>
      </c>
      <c r="F3" s="2" t="s">
        <v>32</v>
      </c>
      <c r="I3" s="2" t="s">
        <v>24</v>
      </c>
      <c r="J3" s="2" t="s">
        <v>32</v>
      </c>
    </row>
    <row r="4">
      <c r="C4" s="2">
        <v>100000.0</v>
      </c>
      <c r="E4" s="2">
        <v>20000.0</v>
      </c>
      <c r="F4" s="2">
        <v>60000.0</v>
      </c>
      <c r="H4" s="2">
        <f>64500</f>
        <v>64500</v>
      </c>
      <c r="I4" s="2">
        <v>5000.0</v>
      </c>
      <c r="J4" s="2">
        <v>21000.0</v>
      </c>
    </row>
    <row r="5">
      <c r="B5" s="2">
        <v>1.0</v>
      </c>
      <c r="C5" s="2">
        <f>100000-20000</f>
        <v>80000</v>
      </c>
      <c r="D5" s="2">
        <f>C4-E4</f>
        <v>80000</v>
      </c>
      <c r="H5" s="2">
        <f>H4-I4-17500</f>
        <v>42000</v>
      </c>
    </row>
    <row r="6">
      <c r="B6" s="2">
        <v>2.0</v>
      </c>
      <c r="C6" s="2">
        <f t="shared" ref="C6:D6" si="1">C5*0.0013+C5</f>
        <v>80104</v>
      </c>
      <c r="D6" s="2">
        <f t="shared" si="1"/>
        <v>80104</v>
      </c>
      <c r="H6" s="2">
        <f t="shared" ref="H6:H13" si="3">H5*0.0013+H5</f>
        <v>42054.6</v>
      </c>
    </row>
    <row r="7">
      <c r="B7" s="2">
        <v>3.0</v>
      </c>
      <c r="C7" s="2">
        <f t="shared" ref="C7:D7" si="2">C6*0.0013+C6</f>
        <v>80208.1352</v>
      </c>
      <c r="D7" s="2">
        <f t="shared" si="2"/>
        <v>80208.1352</v>
      </c>
      <c r="H7" s="2">
        <f t="shared" si="3"/>
        <v>42109.27098</v>
      </c>
    </row>
    <row r="8">
      <c r="B8" s="2">
        <v>4.0</v>
      </c>
      <c r="C8" s="2">
        <f t="shared" ref="C8:D8" si="4">C7*0.0013+C7</f>
        <v>80312.40578</v>
      </c>
      <c r="D8" s="2">
        <f t="shared" si="4"/>
        <v>80312.40578</v>
      </c>
      <c r="H8" s="2">
        <f t="shared" si="3"/>
        <v>42164.01303</v>
      </c>
    </row>
    <row r="9">
      <c r="B9" s="2">
        <v>5.0</v>
      </c>
      <c r="C9" s="2">
        <f t="shared" ref="C9:D9" si="5">C8*0.0013+C8</f>
        <v>80416.8119</v>
      </c>
      <c r="D9" s="2">
        <f t="shared" si="5"/>
        <v>80416.8119</v>
      </c>
      <c r="H9" s="2">
        <f t="shared" si="3"/>
        <v>42218.82625</v>
      </c>
    </row>
    <row r="10">
      <c r="B10" s="2">
        <v>6.0</v>
      </c>
      <c r="C10" s="2">
        <f t="shared" ref="C10:D10" si="6">C9*0.0013+C9</f>
        <v>80521.35376</v>
      </c>
      <c r="D10" s="2">
        <f t="shared" si="6"/>
        <v>80521.35376</v>
      </c>
      <c r="H10" s="2">
        <f t="shared" si="3"/>
        <v>42273.71072</v>
      </c>
    </row>
    <row r="11">
      <c r="B11" s="2">
        <v>7.0</v>
      </c>
      <c r="C11" s="2">
        <f t="shared" ref="C11:D11" si="7">C10*0.0013+C10</f>
        <v>80626.03152</v>
      </c>
      <c r="D11" s="2">
        <f t="shared" si="7"/>
        <v>80626.03152</v>
      </c>
      <c r="H11" s="2">
        <f t="shared" si="3"/>
        <v>42328.66655</v>
      </c>
    </row>
    <row r="12">
      <c r="B12" s="2">
        <v>8.0</v>
      </c>
      <c r="C12" s="2">
        <f t="shared" ref="C12:D12" si="8">C11*0.0013+C11</f>
        <v>80730.84536</v>
      </c>
      <c r="D12" s="2">
        <f t="shared" si="8"/>
        <v>80730.84536</v>
      </c>
      <c r="H12" s="2">
        <f t="shared" si="3"/>
        <v>42383.69381</v>
      </c>
    </row>
    <row r="13">
      <c r="B13" s="2">
        <v>9.0</v>
      </c>
      <c r="C13" s="2">
        <f t="shared" ref="C13:D13" si="9">C12*0.0013+C12</f>
        <v>80835.79546</v>
      </c>
      <c r="D13" s="2">
        <f t="shared" si="9"/>
        <v>80835.79546</v>
      </c>
      <c r="H13" s="2">
        <f t="shared" si="3"/>
        <v>42438.79262</v>
      </c>
    </row>
    <row r="14">
      <c r="B14" s="2">
        <v>10.0</v>
      </c>
      <c r="C14" s="2">
        <f>C13*0.0013+C13-F4</f>
        <v>20940.88199</v>
      </c>
      <c r="D14" s="2">
        <f>D13*0.0013+D13-20000</f>
        <v>60940.88199</v>
      </c>
      <c r="H14" s="2">
        <f>H13*0.0013+H13-7000</f>
        <v>35493.96305</v>
      </c>
    </row>
    <row r="15">
      <c r="B15" s="2">
        <v>11.0</v>
      </c>
      <c r="C15" s="2">
        <f t="shared" ref="C15:D15" si="10">C14*0.0013+C14</f>
        <v>20968.10514</v>
      </c>
      <c r="D15" s="2">
        <f t="shared" si="10"/>
        <v>61020.10514</v>
      </c>
      <c r="H15" s="2">
        <f t="shared" ref="H15:H23" si="12">H14*0.0013+H14</f>
        <v>35540.1052</v>
      </c>
    </row>
    <row r="16">
      <c r="B16" s="2">
        <v>12.0</v>
      </c>
      <c r="C16" s="2">
        <f t="shared" ref="C16:D16" si="11">C15*0.0013+C15</f>
        <v>20995.36368</v>
      </c>
      <c r="D16" s="2">
        <f t="shared" si="11"/>
        <v>61099.43128</v>
      </c>
      <c r="H16" s="2">
        <f t="shared" si="12"/>
        <v>35586.30733</v>
      </c>
    </row>
    <row r="17">
      <c r="B17" s="2">
        <v>13.0</v>
      </c>
      <c r="C17" s="2">
        <f t="shared" ref="C17:D17" si="13">C16*0.0013+C16</f>
        <v>21022.65765</v>
      </c>
      <c r="D17" s="2">
        <f t="shared" si="13"/>
        <v>61178.86054</v>
      </c>
      <c r="H17" s="2">
        <f t="shared" si="12"/>
        <v>35632.56953</v>
      </c>
    </row>
    <row r="18">
      <c r="B18" s="2">
        <v>14.0</v>
      </c>
      <c r="C18" s="2">
        <f t="shared" ref="C18:D18" si="14">C17*0.0013+C17</f>
        <v>21049.9871</v>
      </c>
      <c r="D18" s="2">
        <f t="shared" si="14"/>
        <v>61258.39306</v>
      </c>
      <c r="H18" s="2">
        <f t="shared" si="12"/>
        <v>35678.89187</v>
      </c>
    </row>
    <row r="19">
      <c r="B19" s="2">
        <v>15.0</v>
      </c>
      <c r="C19" s="2">
        <f t="shared" ref="C19:D19" si="15">C18*0.0013+C18</f>
        <v>21077.35209</v>
      </c>
      <c r="D19" s="2">
        <f t="shared" si="15"/>
        <v>61338.02897</v>
      </c>
      <c r="H19" s="2">
        <f t="shared" si="12"/>
        <v>35725.27443</v>
      </c>
    </row>
    <row r="20">
      <c r="B20" s="2">
        <v>16.0</v>
      </c>
      <c r="C20" s="2">
        <f t="shared" ref="C20:D20" si="16">C19*0.0013+C19</f>
        <v>21104.75264</v>
      </c>
      <c r="D20" s="2">
        <f t="shared" si="16"/>
        <v>61417.7684</v>
      </c>
      <c r="H20" s="2">
        <f t="shared" si="12"/>
        <v>35771.71729</v>
      </c>
    </row>
    <row r="21">
      <c r="B21" s="2">
        <v>17.0</v>
      </c>
      <c r="C21" s="2">
        <f t="shared" ref="C21:D21" si="17">C20*0.0013+C20</f>
        <v>21132.18882</v>
      </c>
      <c r="D21" s="2">
        <f t="shared" si="17"/>
        <v>61497.6115</v>
      </c>
      <c r="H21" s="2">
        <f t="shared" si="12"/>
        <v>35818.22052</v>
      </c>
    </row>
    <row r="22">
      <c r="B22" s="2">
        <v>18.0</v>
      </c>
      <c r="C22" s="2">
        <f t="shared" ref="C22:D22" si="18">C21*0.0013+C21</f>
        <v>21159.66067</v>
      </c>
      <c r="D22" s="2">
        <f t="shared" si="18"/>
        <v>61577.5584</v>
      </c>
      <c r="H22" s="2">
        <f t="shared" si="12"/>
        <v>35864.78421</v>
      </c>
    </row>
    <row r="23">
      <c r="B23" s="2">
        <v>19.0</v>
      </c>
      <c r="C23" s="2">
        <f t="shared" ref="C23:D23" si="19">C22*0.0013+C22</f>
        <v>21187.16823</v>
      </c>
      <c r="D23" s="2">
        <f t="shared" si="19"/>
        <v>61657.60922</v>
      </c>
      <c r="H23" s="2">
        <f t="shared" si="12"/>
        <v>35911.40843</v>
      </c>
    </row>
    <row r="24">
      <c r="B24" s="2">
        <v>20.0</v>
      </c>
      <c r="C24" s="2">
        <f t="shared" ref="C24:C34" si="20">C23*0.0013+C23</f>
        <v>21214.71155</v>
      </c>
      <c r="D24" s="2">
        <f>D23*0.0013+D23-20000</f>
        <v>41737.76412</v>
      </c>
      <c r="H24" s="2">
        <f>H23*0.0013+H23-7000</f>
        <v>28958.09326</v>
      </c>
    </row>
    <row r="25">
      <c r="B25" s="2">
        <v>21.0</v>
      </c>
      <c r="C25" s="2">
        <f t="shared" si="20"/>
        <v>21242.29067</v>
      </c>
      <c r="D25" s="2">
        <f t="shared" ref="D25:D33" si="21">D24*0.0013+D24</f>
        <v>41792.02321</v>
      </c>
      <c r="H25" s="2">
        <f t="shared" ref="H25:H33" si="22">H24*0.0013+H24</f>
        <v>28995.73878</v>
      </c>
    </row>
    <row r="26">
      <c r="B26" s="2">
        <v>22.0</v>
      </c>
      <c r="C26" s="2">
        <f t="shared" si="20"/>
        <v>21269.90565</v>
      </c>
      <c r="D26" s="2">
        <f t="shared" si="21"/>
        <v>41846.35284</v>
      </c>
      <c r="H26" s="2">
        <f t="shared" si="22"/>
        <v>29033.43324</v>
      </c>
    </row>
    <row r="27">
      <c r="B27" s="2">
        <v>23.0</v>
      </c>
      <c r="C27" s="2">
        <f t="shared" si="20"/>
        <v>21297.55653</v>
      </c>
      <c r="D27" s="2">
        <f t="shared" si="21"/>
        <v>41900.7531</v>
      </c>
      <c r="H27" s="2">
        <f t="shared" si="22"/>
        <v>29071.17671</v>
      </c>
    </row>
    <row r="28">
      <c r="B28" s="2">
        <v>24.0</v>
      </c>
      <c r="C28" s="2">
        <f t="shared" si="20"/>
        <v>21325.24335</v>
      </c>
      <c r="D28" s="2">
        <f t="shared" si="21"/>
        <v>41955.22408</v>
      </c>
      <c r="H28" s="2">
        <f t="shared" si="22"/>
        <v>29108.96924</v>
      </c>
    </row>
    <row r="29">
      <c r="B29" s="2">
        <v>25.0</v>
      </c>
      <c r="C29" s="2">
        <f t="shared" si="20"/>
        <v>21352.96617</v>
      </c>
      <c r="D29" s="2">
        <f t="shared" si="21"/>
        <v>42009.76587</v>
      </c>
      <c r="H29" s="2">
        <f t="shared" si="22"/>
        <v>29146.8109</v>
      </c>
    </row>
    <row r="30">
      <c r="B30" s="2">
        <v>26.0</v>
      </c>
      <c r="C30" s="2">
        <f t="shared" si="20"/>
        <v>21380.72502</v>
      </c>
      <c r="D30" s="2">
        <f t="shared" si="21"/>
        <v>42064.37856</v>
      </c>
      <c r="H30" s="2">
        <f t="shared" si="22"/>
        <v>29184.70175</v>
      </c>
    </row>
    <row r="31">
      <c r="B31" s="2">
        <v>27.0</v>
      </c>
      <c r="C31" s="2">
        <f t="shared" si="20"/>
        <v>21408.51996</v>
      </c>
      <c r="D31" s="2">
        <f t="shared" si="21"/>
        <v>42119.06226</v>
      </c>
      <c r="H31" s="2">
        <f t="shared" si="22"/>
        <v>29222.64186</v>
      </c>
    </row>
    <row r="32">
      <c r="B32" s="2">
        <v>28.0</v>
      </c>
      <c r="C32" s="2">
        <f t="shared" si="20"/>
        <v>21436.35104</v>
      </c>
      <c r="D32" s="2">
        <f t="shared" si="21"/>
        <v>42173.81704</v>
      </c>
      <c r="H32" s="2">
        <f t="shared" si="22"/>
        <v>29260.6313</v>
      </c>
    </row>
    <row r="33">
      <c r="B33" s="2">
        <v>29.0</v>
      </c>
      <c r="C33" s="2">
        <f t="shared" si="20"/>
        <v>21464.2183</v>
      </c>
      <c r="D33" s="2">
        <f t="shared" si="21"/>
        <v>42228.643</v>
      </c>
      <c r="H33" s="2">
        <f t="shared" si="22"/>
        <v>29298.67012</v>
      </c>
    </row>
    <row r="34">
      <c r="B34" s="2">
        <v>30.0</v>
      </c>
      <c r="C34" s="2">
        <f t="shared" si="20"/>
        <v>21492.12178</v>
      </c>
      <c r="D34" s="2">
        <f>D33*0.0013+D33-20000</f>
        <v>22283.54023</v>
      </c>
      <c r="H34" s="2">
        <f>H33*0.0013+H33-7000</f>
        <v>22336.75839</v>
      </c>
    </row>
    <row r="36">
      <c r="C36" s="2">
        <f>C34+F4+E4-100000</f>
        <v>1492.121781</v>
      </c>
      <c r="D36" s="2">
        <f>D34+E4+F4-100000</f>
        <v>2283.540235</v>
      </c>
      <c r="H36" s="2">
        <f>H34+I4+J4+17500 - H4</f>
        <v>1336.758388</v>
      </c>
    </row>
    <row r="38">
      <c r="C38" s="19">
        <f>C36/C4</f>
        <v>0.01492121781</v>
      </c>
      <c r="D38" s="19">
        <f>D36/C4</f>
        <v>0.02283540235</v>
      </c>
      <c r="H38" s="19">
        <f>H36/H4</f>
        <v>0.02072493625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33</v>
      </c>
      <c r="B1" s="26">
        <v>15250.0</v>
      </c>
      <c r="C1" s="27"/>
    </row>
    <row r="2">
      <c r="A2" s="9" t="s">
        <v>34</v>
      </c>
      <c r="B2" s="26">
        <v>5807.99</v>
      </c>
      <c r="C2" s="27"/>
    </row>
    <row r="3">
      <c r="A3" s="9" t="s">
        <v>35</v>
      </c>
      <c r="B3" s="26">
        <v>4758.8</v>
      </c>
      <c r="C3" s="27"/>
    </row>
    <row r="4">
      <c r="A4" s="9" t="s">
        <v>36</v>
      </c>
      <c r="B4" s="26">
        <v>16829.96</v>
      </c>
      <c r="C4" s="27"/>
    </row>
    <row r="5">
      <c r="A5" s="9" t="s">
        <v>37</v>
      </c>
      <c r="B5" s="26">
        <v>3910.0</v>
      </c>
      <c r="C5" s="27"/>
    </row>
    <row r="6">
      <c r="A6" s="28" t="s">
        <v>38</v>
      </c>
      <c r="B6" s="29">
        <v>3143.99</v>
      </c>
      <c r="C6" s="30"/>
    </row>
    <row r="7">
      <c r="A7" s="28" t="s">
        <v>39</v>
      </c>
      <c r="B7" s="29">
        <v>0.0</v>
      </c>
      <c r="C7" s="31"/>
    </row>
    <row r="8">
      <c r="A8" s="28" t="s">
        <v>40</v>
      </c>
      <c r="B8" s="29">
        <v>1847.67</v>
      </c>
      <c r="C8" s="31"/>
    </row>
    <row r="9">
      <c r="A9" s="28" t="s">
        <v>41</v>
      </c>
      <c r="B9" s="29">
        <v>0.0</v>
      </c>
      <c r="C9" s="31"/>
    </row>
    <row r="10">
      <c r="A10" s="28" t="s">
        <v>42</v>
      </c>
      <c r="B10" s="29">
        <v>0.0</v>
      </c>
      <c r="C10" s="31"/>
    </row>
    <row r="11">
      <c r="A11" s="28" t="s">
        <v>43</v>
      </c>
      <c r="B11" s="29">
        <v>620.0</v>
      </c>
      <c r="C11" s="31"/>
    </row>
    <row r="12">
      <c r="A12" s="28" t="s">
        <v>44</v>
      </c>
      <c r="B12" s="29">
        <v>753.87</v>
      </c>
      <c r="C12" s="31"/>
    </row>
    <row r="13">
      <c r="A13" s="32" t="s">
        <v>45</v>
      </c>
      <c r="B13" s="33">
        <f>SUM(B1:B12)</f>
        <v>52922.28</v>
      </c>
      <c r="C13" s="31"/>
    </row>
    <row r="14">
      <c r="A14" s="34"/>
      <c r="B14" s="35"/>
      <c r="C14" s="31"/>
    </row>
    <row r="15">
      <c r="A15" s="34"/>
      <c r="B15" s="35"/>
      <c r="C15" s="31"/>
    </row>
    <row r="16">
      <c r="A16" s="34"/>
      <c r="B16" s="35"/>
      <c r="C16" s="31"/>
    </row>
    <row r="17">
      <c r="A17" s="34"/>
      <c r="B17" s="35"/>
      <c r="C17" s="31"/>
    </row>
    <row r="18">
      <c r="A18" s="34"/>
      <c r="B18" s="35"/>
      <c r="C18" s="31"/>
    </row>
    <row r="19">
      <c r="A19" s="34"/>
      <c r="B19" s="35"/>
      <c r="C19" s="31"/>
    </row>
    <row r="20">
      <c r="A20" s="34"/>
      <c r="B20" s="35"/>
      <c r="C20" s="3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33</v>
      </c>
      <c r="B1" s="26">
        <v>15250.0</v>
      </c>
    </row>
    <row r="2">
      <c r="A2" s="9" t="s">
        <v>34</v>
      </c>
      <c r="B2" s="26">
        <v>9480.85</v>
      </c>
    </row>
    <row r="3">
      <c r="A3" s="9" t="s">
        <v>35</v>
      </c>
      <c r="B3" s="26">
        <v>1370.0</v>
      </c>
    </row>
    <row r="4">
      <c r="A4" s="9" t="s">
        <v>36</v>
      </c>
      <c r="B4" s="26">
        <v>15701.01</v>
      </c>
    </row>
    <row r="5">
      <c r="A5" s="9" t="s">
        <v>37</v>
      </c>
      <c r="B5" s="26">
        <v>0.0</v>
      </c>
    </row>
    <row r="6">
      <c r="A6" s="28" t="s">
        <v>38</v>
      </c>
      <c r="B6" s="29">
        <v>5154.96</v>
      </c>
    </row>
    <row r="7">
      <c r="A7" s="28" t="s">
        <v>39</v>
      </c>
      <c r="B7" s="29">
        <v>10192.0</v>
      </c>
    </row>
    <row r="8">
      <c r="A8" s="28" t="s">
        <v>40</v>
      </c>
      <c r="B8" s="29">
        <v>1526.5</v>
      </c>
    </row>
    <row r="9">
      <c r="A9" s="28" t="s">
        <v>41</v>
      </c>
      <c r="B9" s="29">
        <v>0.0</v>
      </c>
    </row>
    <row r="10">
      <c r="A10" s="28" t="s">
        <v>42</v>
      </c>
      <c r="B10" s="29">
        <v>0.0</v>
      </c>
    </row>
    <row r="11">
      <c r="A11" s="28" t="s">
        <v>43</v>
      </c>
      <c r="B11" s="29">
        <v>0.0</v>
      </c>
    </row>
    <row r="12">
      <c r="A12" s="28" t="s">
        <v>44</v>
      </c>
      <c r="B12" s="29">
        <v>443.97</v>
      </c>
    </row>
    <row r="13">
      <c r="A13" s="32" t="s">
        <v>45</v>
      </c>
      <c r="B13" s="33">
        <f>SUM(B1:B12)</f>
        <v>59119.29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33</v>
      </c>
      <c r="B1" s="26">
        <v>15250.0</v>
      </c>
    </row>
    <row r="2">
      <c r="A2" s="9" t="s">
        <v>34</v>
      </c>
      <c r="B2" s="26">
        <v>6499.81</v>
      </c>
    </row>
    <row r="3">
      <c r="A3" s="9" t="s">
        <v>35</v>
      </c>
      <c r="B3" s="26">
        <v>3834.0</v>
      </c>
    </row>
    <row r="4">
      <c r="A4" s="9" t="s">
        <v>36</v>
      </c>
      <c r="B4" s="26">
        <f>14748.05+3625.88+8545.13</f>
        <v>26919.06</v>
      </c>
    </row>
    <row r="5">
      <c r="A5" s="9" t="s">
        <v>37</v>
      </c>
      <c r="B5" s="26">
        <v>2540.0</v>
      </c>
    </row>
    <row r="6">
      <c r="A6" s="9" t="s">
        <v>40</v>
      </c>
      <c r="B6" s="26">
        <v>2194.14</v>
      </c>
    </row>
    <row r="7">
      <c r="A7" s="9" t="s">
        <v>44</v>
      </c>
      <c r="B7" s="26">
        <v>458.88</v>
      </c>
    </row>
    <row r="8">
      <c r="A8" s="28" t="s">
        <v>38</v>
      </c>
      <c r="B8" s="29">
        <v>165.0</v>
      </c>
    </row>
    <row r="9">
      <c r="A9" s="28" t="s">
        <v>39</v>
      </c>
      <c r="B9" s="29">
        <v>0.0</v>
      </c>
    </row>
    <row r="10">
      <c r="A10" s="28" t="s">
        <v>41</v>
      </c>
      <c r="B10" s="29">
        <v>0.0</v>
      </c>
    </row>
    <row r="11">
      <c r="A11" s="28" t="s">
        <v>42</v>
      </c>
      <c r="B11" s="29">
        <v>610.0</v>
      </c>
    </row>
    <row r="12">
      <c r="A12" s="28" t="s">
        <v>43</v>
      </c>
      <c r="B12" s="29">
        <v>0.0</v>
      </c>
    </row>
    <row r="13">
      <c r="A13" s="32" t="s">
        <v>45</v>
      </c>
      <c r="B13" s="33">
        <f>SUM(B1:B12)</f>
        <v>58470.89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33</v>
      </c>
      <c r="B1" s="26">
        <v>15250.0</v>
      </c>
    </row>
    <row r="2">
      <c r="A2" s="9" t="s">
        <v>34</v>
      </c>
      <c r="B2" s="26">
        <v>5306.38</v>
      </c>
    </row>
    <row r="3">
      <c r="A3" s="9" t="s">
        <v>35</v>
      </c>
      <c r="B3" s="26">
        <v>3615.69</v>
      </c>
    </row>
    <row r="4">
      <c r="A4" s="9" t="s">
        <v>36</v>
      </c>
      <c r="B4" s="26">
        <v>22926.96</v>
      </c>
    </row>
    <row r="5">
      <c r="A5" s="9" t="s">
        <v>37</v>
      </c>
      <c r="B5" s="26">
        <v>1440.0</v>
      </c>
    </row>
    <row r="6">
      <c r="A6" s="9" t="s">
        <v>40</v>
      </c>
      <c r="B6" s="26">
        <v>2443.03</v>
      </c>
    </row>
    <row r="7">
      <c r="A7" s="9" t="s">
        <v>44</v>
      </c>
      <c r="B7" s="26">
        <v>958.96</v>
      </c>
    </row>
    <row r="8">
      <c r="A8" s="28" t="s">
        <v>38</v>
      </c>
      <c r="B8" s="29">
        <v>129.0</v>
      </c>
    </row>
    <row r="9">
      <c r="A9" s="28" t="s">
        <v>39</v>
      </c>
      <c r="B9" s="29">
        <v>11330.9</v>
      </c>
    </row>
    <row r="10">
      <c r="A10" s="28" t="s">
        <v>41</v>
      </c>
      <c r="B10" s="29">
        <v>0.0</v>
      </c>
    </row>
    <row r="11">
      <c r="A11" s="28" t="s">
        <v>42</v>
      </c>
      <c r="B11" s="29">
        <v>734.0</v>
      </c>
    </row>
    <row r="12">
      <c r="A12" s="28" t="s">
        <v>43</v>
      </c>
      <c r="B12" s="29">
        <v>778.0</v>
      </c>
    </row>
    <row r="13">
      <c r="A13" s="32" t="s">
        <v>45</v>
      </c>
      <c r="B13" s="33">
        <f>SUM(B1:B12)</f>
        <v>64912.92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>
        <v>2024.0</v>
      </c>
      <c r="B1" s="37" t="s">
        <v>46</v>
      </c>
      <c r="C1" s="36">
        <v>2025.0</v>
      </c>
      <c r="D1" s="37" t="s">
        <v>46</v>
      </c>
    </row>
    <row r="2">
      <c r="A2" s="38" t="s">
        <v>47</v>
      </c>
      <c r="B2" s="39"/>
      <c r="C2" s="38" t="s">
        <v>47</v>
      </c>
      <c r="D2" s="39">
        <f>'OCAK-2025'!O13</f>
        <v>57056.01</v>
      </c>
    </row>
    <row r="3">
      <c r="A3" s="38" t="s">
        <v>48</v>
      </c>
      <c r="B3" s="39"/>
      <c r="C3" s="38" t="s">
        <v>48</v>
      </c>
      <c r="D3" s="39">
        <f>'ŞUBAT-2025'!O13</f>
        <v>40489.31</v>
      </c>
    </row>
    <row r="4">
      <c r="A4" s="38" t="s">
        <v>49</v>
      </c>
      <c r="B4" s="39"/>
      <c r="C4" s="38" t="s">
        <v>49</v>
      </c>
      <c r="D4" s="39">
        <f>'MART-2025'!O13</f>
        <v>64957.84</v>
      </c>
    </row>
    <row r="5">
      <c r="A5" s="38" t="s">
        <v>50</v>
      </c>
      <c r="B5" s="39" t="str">
        <f>'NİSAN-2024'!T2</f>
        <v/>
      </c>
      <c r="C5" s="38" t="s">
        <v>50</v>
      </c>
      <c r="D5" s="39">
        <f>'NİSAN-2025'!O13</f>
        <v>48412.9</v>
      </c>
    </row>
    <row r="6">
      <c r="A6" s="38" t="s">
        <v>51</v>
      </c>
      <c r="B6" s="39">
        <f>'MAYIS-2024'!T2</f>
        <v>18650.34</v>
      </c>
      <c r="C6" s="38" t="s">
        <v>51</v>
      </c>
      <c r="D6" s="39">
        <f>'MAYIS-2025'!O13</f>
        <v>36997.86</v>
      </c>
    </row>
    <row r="7">
      <c r="A7" s="38" t="s">
        <v>52</v>
      </c>
      <c r="B7" s="39">
        <f>'HAZİRAN-2024'!T2</f>
        <v>18861.93</v>
      </c>
      <c r="C7" s="38" t="s">
        <v>52</v>
      </c>
      <c r="D7" s="39">
        <f>'HAZİRAN-2025'!O13</f>
        <v>89732.36</v>
      </c>
    </row>
    <row r="8">
      <c r="A8" s="38" t="s">
        <v>53</v>
      </c>
      <c r="B8" s="39">
        <f>'TEMMUZ-2024'!O12</f>
        <v>24456.76</v>
      </c>
      <c r="C8" s="38" t="s">
        <v>53</v>
      </c>
      <c r="D8" s="39">
        <f>'TEMMUZ-2025'!B12</f>
        <v>104953.92</v>
      </c>
    </row>
    <row r="9">
      <c r="A9" s="38" t="s">
        <v>54</v>
      </c>
      <c r="B9" s="39">
        <f>'AĞUSTOS-2024'!O12</f>
        <v>20363.52</v>
      </c>
      <c r="C9" s="38" t="s">
        <v>54</v>
      </c>
      <c r="D9" s="39">
        <f>'AĞUSTOS-2025'!B13</f>
        <v>52922.28</v>
      </c>
    </row>
    <row r="10">
      <c r="A10" s="38" t="s">
        <v>55</v>
      </c>
      <c r="B10" s="39">
        <f>'EYLÜL-2024'!O13</f>
        <v>21682.12</v>
      </c>
      <c r="C10" s="38" t="s">
        <v>55</v>
      </c>
      <c r="D10" s="39">
        <f>'EYLÜL-2025'!B13</f>
        <v>59119.29</v>
      </c>
    </row>
    <row r="11">
      <c r="A11" s="38" t="s">
        <v>56</v>
      </c>
      <c r="B11" s="39">
        <f>'EKİM-2024'!O13</f>
        <v>17501.12</v>
      </c>
      <c r="C11" s="38" t="s">
        <v>56</v>
      </c>
      <c r="D11" s="39">
        <f>'EKİM-2025'!B13</f>
        <v>58470.89</v>
      </c>
    </row>
    <row r="12">
      <c r="A12" s="38" t="s">
        <v>57</v>
      </c>
      <c r="B12" s="39">
        <f>'KASIM-2024'!O13</f>
        <v>20508.46</v>
      </c>
      <c r="C12" s="38" t="s">
        <v>57</v>
      </c>
      <c r="D12" s="40" t="str">
        <f>'KASIM-2024'!Q13</f>
        <v/>
      </c>
    </row>
    <row r="13">
      <c r="A13" s="38" t="s">
        <v>58</v>
      </c>
      <c r="B13" s="39">
        <f>'ARALIK-2024'!O13</f>
        <v>57005.57</v>
      </c>
      <c r="C13" s="38" t="s">
        <v>58</v>
      </c>
      <c r="D13" s="39" t="str">
        <f>'ARALIK-2024'!Q13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86"/>
    <col customWidth="1" min="2" max="2" width="14.0"/>
    <col customWidth="1" min="3" max="3" width="16.14"/>
    <col customWidth="1" min="4" max="4" width="14.29"/>
    <col customWidth="1" min="5" max="5" width="18.14"/>
    <col customWidth="1" min="6" max="6" width="13.86"/>
    <col customWidth="1" min="7" max="7" width="13.43"/>
    <col customWidth="1" min="8" max="8" width="14.86"/>
    <col customWidth="1" min="9" max="9" width="17.43"/>
    <col customWidth="1" min="10" max="11" width="13.14"/>
    <col customWidth="1" min="12" max="12" width="15.0"/>
    <col customWidth="1" min="13" max="13" width="18.71"/>
  </cols>
  <sheetData>
    <row r="1" ht="22.5" customHeight="1">
      <c r="A1" s="41" t="s">
        <v>59</v>
      </c>
      <c r="B1" s="42" t="s">
        <v>60</v>
      </c>
      <c r="C1" s="43" t="s">
        <v>34</v>
      </c>
      <c r="D1" s="43" t="s">
        <v>35</v>
      </c>
      <c r="E1" s="43" t="s">
        <v>61</v>
      </c>
      <c r="F1" s="43" t="s">
        <v>62</v>
      </c>
      <c r="G1" s="43" t="s">
        <v>40</v>
      </c>
      <c r="H1" s="43" t="s">
        <v>36</v>
      </c>
      <c r="I1" s="43" t="s">
        <v>63</v>
      </c>
      <c r="J1" s="43" t="s">
        <v>64</v>
      </c>
      <c r="K1" s="43" t="s">
        <v>65</v>
      </c>
      <c r="L1" s="43" t="s">
        <v>66</v>
      </c>
      <c r="M1" s="42" t="s">
        <v>67</v>
      </c>
    </row>
    <row r="2" ht="22.5" customHeight="1">
      <c r="A2" s="44">
        <v>1.0</v>
      </c>
      <c r="B2" s="45">
        <v>45627.0</v>
      </c>
      <c r="C2" s="46">
        <v>235.39</v>
      </c>
      <c r="D2" s="46">
        <f>690</f>
        <v>690</v>
      </c>
      <c r="E2" s="46">
        <v>0.0</v>
      </c>
      <c r="F2" s="46">
        <v>0.0</v>
      </c>
      <c r="G2" s="46">
        <v>0.0</v>
      </c>
      <c r="H2" s="46">
        <f>17500</f>
        <v>17500</v>
      </c>
      <c r="I2" s="46">
        <v>0.0</v>
      </c>
      <c r="J2" s="46">
        <v>0.0</v>
      </c>
      <c r="K2" s="46">
        <v>0.0</v>
      </c>
      <c r="L2" s="46">
        <v>0.0</v>
      </c>
      <c r="M2" s="47">
        <f>SUMIF(C2:L2,"&lt;&gt;")</f>
        <v>18425.39</v>
      </c>
      <c r="N2" s="48" t="s">
        <v>68</v>
      </c>
      <c r="O2" s="49">
        <f>+SUM(C2:C32,D2:D32)/ COUNTIFS(C2:C32, "&lt;&gt;", D2:D32, "&lt;&gt;")</f>
        <v>311.6425806</v>
      </c>
    </row>
    <row r="3" ht="22.5" customHeight="1">
      <c r="A3" s="44">
        <v>2.0</v>
      </c>
      <c r="B3" s="45">
        <v>45628.0</v>
      </c>
      <c r="C3" s="46">
        <f>129.75</f>
        <v>129.75</v>
      </c>
      <c r="D3" s="46">
        <f>280</f>
        <v>280</v>
      </c>
      <c r="E3" s="46">
        <v>0.0</v>
      </c>
      <c r="F3" s="46">
        <v>0.0</v>
      </c>
      <c r="G3" s="46">
        <v>0.0</v>
      </c>
      <c r="H3" s="46">
        <v>0.0</v>
      </c>
      <c r="I3" s="46">
        <f>26.24</f>
        <v>26.24</v>
      </c>
      <c r="J3" s="46">
        <v>0.0</v>
      </c>
      <c r="K3" s="46">
        <v>0.0</v>
      </c>
      <c r="L3" s="46">
        <v>0.0</v>
      </c>
      <c r="M3" s="47">
        <f>SUMIF(C3:K3,"&lt;&gt;")</f>
        <v>435.99</v>
      </c>
      <c r="N3" s="50" t="s">
        <v>69</v>
      </c>
      <c r="O3" s="51">
        <f>+O13 / COUNTIF(C2:C32, "&lt;&gt;")</f>
        <v>1838.889355</v>
      </c>
    </row>
    <row r="4" ht="22.5" customHeight="1">
      <c r="A4" s="44">
        <v>3.0</v>
      </c>
      <c r="B4" s="45">
        <v>45629.0</v>
      </c>
      <c r="C4" s="46">
        <f>62.5</f>
        <v>62.5</v>
      </c>
      <c r="D4" s="46">
        <v>0.0</v>
      </c>
      <c r="E4" s="46">
        <v>0.0</v>
      </c>
      <c r="F4" s="46">
        <v>0.0</v>
      </c>
      <c r="G4" s="46">
        <v>0.0</v>
      </c>
      <c r="H4" s="46">
        <v>0.0</v>
      </c>
      <c r="I4" s="46">
        <v>0.0</v>
      </c>
      <c r="J4" s="46">
        <v>0.0</v>
      </c>
      <c r="K4" s="46">
        <v>0.0</v>
      </c>
      <c r="L4" s="46">
        <v>0.0</v>
      </c>
      <c r="M4" s="47">
        <f t="shared" ref="M4:M6" si="1">SUMIF(C4:L4,"&lt;&gt;")</f>
        <v>62.5</v>
      </c>
      <c r="N4" s="48" t="s">
        <v>70</v>
      </c>
      <c r="O4" s="52">
        <f>+SUM(C2:C32)</f>
        <v>7364.92</v>
      </c>
    </row>
    <row r="5" ht="22.5" customHeight="1">
      <c r="A5" s="44">
        <v>4.0</v>
      </c>
      <c r="B5" s="45">
        <v>45630.0</v>
      </c>
      <c r="C5" s="46">
        <f>52.75+100.75</f>
        <v>153.5</v>
      </c>
      <c r="D5" s="46">
        <v>0.0</v>
      </c>
      <c r="E5" s="46">
        <v>0.0</v>
      </c>
      <c r="F5" s="46">
        <v>0.0</v>
      </c>
      <c r="G5" s="46">
        <v>0.0</v>
      </c>
      <c r="H5" s="46">
        <v>0.0</v>
      </c>
      <c r="I5" s="46">
        <v>0.0</v>
      </c>
      <c r="J5" s="46">
        <v>0.0</v>
      </c>
      <c r="K5" s="46">
        <v>0.0</v>
      </c>
      <c r="L5" s="46">
        <f>404</f>
        <v>404</v>
      </c>
      <c r="M5" s="47">
        <f t="shared" si="1"/>
        <v>557.5</v>
      </c>
      <c r="N5" s="53" t="s">
        <v>71</v>
      </c>
      <c r="O5" s="54">
        <f>+SUM(D2:D32)</f>
        <v>2296</v>
      </c>
    </row>
    <row r="6" ht="22.5" customHeight="1">
      <c r="A6" s="44">
        <v>5.0</v>
      </c>
      <c r="B6" s="45">
        <v>45631.0</v>
      </c>
      <c r="C6" s="46">
        <v>0.0</v>
      </c>
      <c r="D6" s="46">
        <v>0.0</v>
      </c>
      <c r="E6" s="46">
        <v>0.0</v>
      </c>
      <c r="F6" s="46">
        <v>0.0</v>
      </c>
      <c r="G6" s="46">
        <v>0.0</v>
      </c>
      <c r="H6" s="46">
        <v>0.0</v>
      </c>
      <c r="I6" s="46">
        <f>39</f>
        <v>39</v>
      </c>
      <c r="J6" s="46">
        <v>0.0</v>
      </c>
      <c r="K6" s="46">
        <v>0.0</v>
      </c>
      <c r="L6" s="46">
        <f>7992</f>
        <v>7992</v>
      </c>
      <c r="M6" s="47">
        <f t="shared" si="1"/>
        <v>8031</v>
      </c>
      <c r="N6" s="53" t="s">
        <v>72</v>
      </c>
      <c r="O6" s="55">
        <f>SUM(J2:J32)</f>
        <v>0</v>
      </c>
    </row>
    <row r="7" ht="22.5" customHeight="1">
      <c r="A7" s="44">
        <v>6.0</v>
      </c>
      <c r="B7" s="45">
        <v>45632.0</v>
      </c>
      <c r="C7" s="46">
        <v>0.0</v>
      </c>
      <c r="D7" s="46">
        <f>185</f>
        <v>185</v>
      </c>
      <c r="E7" s="46">
        <v>0.0</v>
      </c>
      <c r="F7" s="46">
        <v>0.0</v>
      </c>
      <c r="G7" s="46">
        <v>0.0</v>
      </c>
      <c r="H7" s="46">
        <v>0.0</v>
      </c>
      <c r="I7" s="46">
        <v>0.0</v>
      </c>
      <c r="J7" s="46">
        <v>0.0</v>
      </c>
      <c r="K7" s="46">
        <v>0.0</v>
      </c>
      <c r="L7" s="46">
        <v>0.0</v>
      </c>
      <c r="M7" s="47">
        <f t="shared" ref="M7:M8" si="2">SUMIF(C7:K7,"&lt;&gt;")</f>
        <v>185</v>
      </c>
      <c r="N7" s="53" t="s">
        <v>73</v>
      </c>
      <c r="O7" s="56">
        <f>SUM(K2:K32)</f>
        <v>1980</v>
      </c>
    </row>
    <row r="8" ht="22.5" customHeight="1">
      <c r="A8" s="44">
        <v>7.0</v>
      </c>
      <c r="B8" s="45">
        <v>45633.0</v>
      </c>
      <c r="C8" s="46">
        <v>0.0</v>
      </c>
      <c r="D8" s="46">
        <v>0.0</v>
      </c>
      <c r="E8" s="46">
        <f>300</f>
        <v>300</v>
      </c>
      <c r="F8" s="46">
        <v>0.0</v>
      </c>
      <c r="G8" s="46">
        <v>0.0</v>
      </c>
      <c r="H8" s="46">
        <v>0.0</v>
      </c>
      <c r="I8" s="46">
        <v>0.0</v>
      </c>
      <c r="J8" s="46">
        <v>0.0</v>
      </c>
      <c r="K8" s="46">
        <v>0.0</v>
      </c>
      <c r="L8" s="46">
        <v>0.0</v>
      </c>
      <c r="M8" s="47">
        <f t="shared" si="2"/>
        <v>300</v>
      </c>
      <c r="N8" s="57" t="s">
        <v>74</v>
      </c>
      <c r="O8" s="58">
        <f>+SUM(E2:E32)</f>
        <v>550</v>
      </c>
    </row>
    <row r="9" ht="22.5" customHeight="1">
      <c r="A9" s="44">
        <v>8.0</v>
      </c>
      <c r="B9" s="45">
        <v>45634.0</v>
      </c>
      <c r="C9" s="46">
        <f>150</f>
        <v>150</v>
      </c>
      <c r="D9" s="46">
        <v>0.0</v>
      </c>
      <c r="E9" s="46">
        <v>0.0</v>
      </c>
      <c r="F9" s="46">
        <v>0.0</v>
      </c>
      <c r="G9" s="46">
        <v>0.0</v>
      </c>
      <c r="H9" s="46">
        <v>0.0</v>
      </c>
      <c r="I9" s="46">
        <v>0.0</v>
      </c>
      <c r="J9" s="46">
        <v>0.0</v>
      </c>
      <c r="K9" s="46">
        <v>0.0</v>
      </c>
      <c r="L9" s="46">
        <v>0.0</v>
      </c>
      <c r="M9" s="47">
        <f t="shared" ref="M9:M20" si="3">SUMIF(C9:L9,"&lt;&gt;")</f>
        <v>150</v>
      </c>
      <c r="N9" s="59" t="s">
        <v>75</v>
      </c>
      <c r="O9" s="60">
        <f>Sum(H2:H32)</f>
        <v>23016.39</v>
      </c>
    </row>
    <row r="10" ht="22.5" customHeight="1">
      <c r="A10" s="44">
        <v>9.0</v>
      </c>
      <c r="B10" s="45">
        <v>45635.0</v>
      </c>
      <c r="C10" s="46">
        <f>152.19</f>
        <v>152.19</v>
      </c>
      <c r="D10" s="46">
        <v>0.0</v>
      </c>
      <c r="E10" s="46">
        <v>0.0</v>
      </c>
      <c r="F10" s="46">
        <v>0.0</v>
      </c>
      <c r="G10" s="46">
        <f>614.9</f>
        <v>614.9</v>
      </c>
      <c r="H10" s="46">
        <f>470</f>
        <v>470</v>
      </c>
      <c r="I10" s="46">
        <v>0.0</v>
      </c>
      <c r="J10" s="46">
        <v>0.0</v>
      </c>
      <c r="K10" s="46">
        <v>0.0</v>
      </c>
      <c r="L10" s="46">
        <v>0.0</v>
      </c>
      <c r="M10" s="47">
        <f t="shared" si="3"/>
        <v>1237.09</v>
      </c>
      <c r="N10" s="59" t="s">
        <v>76</v>
      </c>
      <c r="O10" s="61">
        <f>SUM(I2:I32)</f>
        <v>65.24</v>
      </c>
    </row>
    <row r="11" ht="22.5" customHeight="1">
      <c r="A11" s="44">
        <v>10.0</v>
      </c>
      <c r="B11" s="45">
        <v>45636.0</v>
      </c>
      <c r="C11" s="46">
        <v>0.0</v>
      </c>
      <c r="D11" s="46">
        <v>0.0</v>
      </c>
      <c r="E11" s="46">
        <v>0.0</v>
      </c>
      <c r="F11" s="46">
        <v>0.0</v>
      </c>
      <c r="G11" s="46">
        <v>0.0</v>
      </c>
      <c r="H11" s="46">
        <v>0.0</v>
      </c>
      <c r="I11" s="46">
        <v>0.0</v>
      </c>
      <c r="J11" s="46">
        <v>0.0</v>
      </c>
      <c r="K11" s="46">
        <v>0.0</v>
      </c>
      <c r="L11" s="46">
        <v>0.0</v>
      </c>
      <c r="M11" s="47">
        <f t="shared" si="3"/>
        <v>0</v>
      </c>
      <c r="N11" s="59" t="s">
        <v>77</v>
      </c>
      <c r="O11" s="62">
        <f>+SUM(L2:L32)</f>
        <v>12909.62</v>
      </c>
    </row>
    <row r="12" ht="22.5" customHeight="1">
      <c r="A12" s="44">
        <v>11.0</v>
      </c>
      <c r="B12" s="45">
        <v>45637.0</v>
      </c>
      <c r="C12" s="46">
        <f>131.09+183.81</f>
        <v>314.9</v>
      </c>
      <c r="D12" s="46">
        <v>0.0</v>
      </c>
      <c r="E12" s="46">
        <v>0.0</v>
      </c>
      <c r="F12" s="46">
        <v>0.0</v>
      </c>
      <c r="G12" s="46">
        <v>0.0</v>
      </c>
      <c r="H12" s="46">
        <f>3625.88</f>
        <v>3625.88</v>
      </c>
      <c r="I12" s="46">
        <v>0.0</v>
      </c>
      <c r="J12" s="46">
        <v>0.0</v>
      </c>
      <c r="K12" s="46">
        <v>0.0</v>
      </c>
      <c r="L12" s="46">
        <v>0.0</v>
      </c>
      <c r="M12" s="47">
        <f t="shared" si="3"/>
        <v>3940.78</v>
      </c>
      <c r="N12" s="59" t="s">
        <v>40</v>
      </c>
      <c r="O12" s="63">
        <f>sum(G2:G32)</f>
        <v>1823.4</v>
      </c>
    </row>
    <row r="13" ht="22.5" customHeight="1">
      <c r="A13" s="44">
        <v>12.0</v>
      </c>
      <c r="B13" s="45">
        <v>45638.0</v>
      </c>
      <c r="C13" s="46">
        <f>250</f>
        <v>250</v>
      </c>
      <c r="D13" s="46">
        <v>0.0</v>
      </c>
      <c r="E13" s="46">
        <v>0.0</v>
      </c>
      <c r="F13" s="46">
        <v>0.0</v>
      </c>
      <c r="G13" s="46">
        <v>0.0</v>
      </c>
      <c r="H13" s="46">
        <v>0.0</v>
      </c>
      <c r="I13" s="46">
        <v>0.0</v>
      </c>
      <c r="J13" s="46">
        <v>0.0</v>
      </c>
      <c r="K13" s="46">
        <f>1980</f>
        <v>1980</v>
      </c>
      <c r="L13" s="46">
        <v>0.0</v>
      </c>
      <c r="M13" s="47">
        <f t="shared" si="3"/>
        <v>2230</v>
      </c>
      <c r="N13" s="50" t="s">
        <v>45</v>
      </c>
      <c r="O13" s="64">
        <f>+SUM(C2:L32)</f>
        <v>57005.57</v>
      </c>
    </row>
    <row r="14" ht="22.5" customHeight="1">
      <c r="A14" s="44">
        <v>13.0</v>
      </c>
      <c r="B14" s="45">
        <v>45639.0</v>
      </c>
      <c r="C14" s="46">
        <f>299.45</f>
        <v>299.45</v>
      </c>
      <c r="D14" s="46">
        <v>0.0</v>
      </c>
      <c r="E14" s="46">
        <v>0.0</v>
      </c>
      <c r="F14" s="46">
        <v>0.0</v>
      </c>
      <c r="G14" s="46">
        <v>0.0</v>
      </c>
      <c r="H14" s="46">
        <v>0.0</v>
      </c>
      <c r="I14" s="46">
        <v>0.0</v>
      </c>
      <c r="J14" s="46">
        <v>0.0</v>
      </c>
      <c r="K14" s="46">
        <v>0.0</v>
      </c>
      <c r="L14" s="46">
        <v>0.0</v>
      </c>
      <c r="M14" s="47">
        <f t="shared" si="3"/>
        <v>299.45</v>
      </c>
      <c r="O14" s="9"/>
    </row>
    <row r="15" ht="22.5" customHeight="1">
      <c r="A15" s="44">
        <v>14.0</v>
      </c>
      <c r="B15" s="45">
        <v>45640.0</v>
      </c>
      <c r="C15" s="46">
        <f>643.5</f>
        <v>643.5</v>
      </c>
      <c r="D15" s="46">
        <f>730</f>
        <v>730</v>
      </c>
      <c r="E15" s="46">
        <v>0.0</v>
      </c>
      <c r="F15" s="46">
        <v>0.0</v>
      </c>
      <c r="G15" s="46">
        <v>0.0</v>
      </c>
      <c r="H15" s="46">
        <v>0.0</v>
      </c>
      <c r="I15" s="46">
        <v>0.0</v>
      </c>
      <c r="J15" s="46">
        <v>0.0</v>
      </c>
      <c r="K15" s="46">
        <v>0.0</v>
      </c>
      <c r="L15" s="46">
        <v>0.0</v>
      </c>
      <c r="M15" s="47">
        <f t="shared" si="3"/>
        <v>1373.5</v>
      </c>
    </row>
    <row r="16" ht="22.5" customHeight="1">
      <c r="A16" s="44">
        <v>15.0</v>
      </c>
      <c r="B16" s="45">
        <v>45641.0</v>
      </c>
      <c r="C16" s="46">
        <f>196.75</f>
        <v>196.75</v>
      </c>
      <c r="D16" s="46">
        <v>0.0</v>
      </c>
      <c r="E16" s="46">
        <v>0.0</v>
      </c>
      <c r="F16" s="46">
        <v>0.0</v>
      </c>
      <c r="G16" s="46">
        <v>0.0</v>
      </c>
      <c r="H16" s="46">
        <v>0.0</v>
      </c>
      <c r="I16" s="46">
        <v>0.0</v>
      </c>
      <c r="J16" s="46">
        <v>0.0</v>
      </c>
      <c r="K16" s="46">
        <v>0.0</v>
      </c>
      <c r="L16" s="46">
        <v>0.0</v>
      </c>
      <c r="M16" s="47">
        <f t="shared" si="3"/>
        <v>196.75</v>
      </c>
    </row>
    <row r="17" ht="22.5" customHeight="1">
      <c r="A17" s="44">
        <v>16.0</v>
      </c>
      <c r="B17" s="45">
        <v>45642.0</v>
      </c>
      <c r="C17" s="46">
        <f>265.99</f>
        <v>265.99</v>
      </c>
      <c r="D17" s="46">
        <v>0.0</v>
      </c>
      <c r="E17" s="46">
        <v>0.0</v>
      </c>
      <c r="F17" s="46">
        <v>0.0</v>
      </c>
      <c r="G17" s="46">
        <v>0.0</v>
      </c>
      <c r="H17" s="46">
        <v>0.0</v>
      </c>
      <c r="I17" s="46">
        <v>0.0</v>
      </c>
      <c r="J17" s="46">
        <v>0.0</v>
      </c>
      <c r="K17" s="46">
        <v>0.0</v>
      </c>
      <c r="L17" s="46">
        <v>0.0</v>
      </c>
      <c r="M17" s="47">
        <f t="shared" si="3"/>
        <v>265.99</v>
      </c>
    </row>
    <row r="18" ht="22.5" customHeight="1">
      <c r="A18" s="44">
        <v>17.0</v>
      </c>
      <c r="B18" s="45">
        <v>45643.0</v>
      </c>
      <c r="C18" s="46">
        <f>158.7+215.76</f>
        <v>374.46</v>
      </c>
      <c r="D18" s="46">
        <v>0.0</v>
      </c>
      <c r="E18" s="46">
        <v>0.0</v>
      </c>
      <c r="F18" s="46">
        <v>0.0</v>
      </c>
      <c r="G18" s="46">
        <v>0.0</v>
      </c>
      <c r="H18" s="46">
        <v>0.0</v>
      </c>
      <c r="I18" s="46">
        <v>0.0</v>
      </c>
      <c r="J18" s="46">
        <v>0.0</v>
      </c>
      <c r="K18" s="46">
        <v>0.0</v>
      </c>
      <c r="L18" s="46">
        <v>0.0</v>
      </c>
      <c r="M18" s="47">
        <f t="shared" si="3"/>
        <v>374.46</v>
      </c>
    </row>
    <row r="19" ht="22.5" customHeight="1">
      <c r="A19" s="44">
        <v>18.0</v>
      </c>
      <c r="B19" s="45">
        <v>45644.0</v>
      </c>
      <c r="C19" s="46">
        <f>75.9</f>
        <v>75.9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6">
        <v>0.0</v>
      </c>
      <c r="J19" s="46">
        <v>0.0</v>
      </c>
      <c r="K19" s="46">
        <v>0.0</v>
      </c>
      <c r="L19" s="46">
        <f>250</f>
        <v>250</v>
      </c>
      <c r="M19" s="47">
        <f t="shared" si="3"/>
        <v>325.9</v>
      </c>
    </row>
    <row r="20" ht="22.5" customHeight="1">
      <c r="A20" s="44">
        <v>19.0</v>
      </c>
      <c r="B20" s="45">
        <v>45645.0</v>
      </c>
      <c r="C20" s="46">
        <f>189.8+184</f>
        <v>373.8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6">
        <v>0.0</v>
      </c>
      <c r="J20" s="46">
        <v>0.0</v>
      </c>
      <c r="K20" s="46">
        <v>0.0</v>
      </c>
      <c r="L20" s="46">
        <v>0.0</v>
      </c>
      <c r="M20" s="47">
        <f t="shared" si="3"/>
        <v>373.8</v>
      </c>
    </row>
    <row r="21" ht="22.5" customHeight="1">
      <c r="A21" s="44">
        <v>20.0</v>
      </c>
      <c r="B21" s="45">
        <v>45646.0</v>
      </c>
      <c r="C21" s="46">
        <f>51</f>
        <v>51</v>
      </c>
      <c r="D21" s="46">
        <v>0.0</v>
      </c>
      <c r="E21" s="46">
        <v>0.0</v>
      </c>
      <c r="F21" s="46">
        <v>0.0</v>
      </c>
      <c r="G21" s="46">
        <v>0.0</v>
      </c>
      <c r="H21" s="46">
        <v>0.0</v>
      </c>
      <c r="I21" s="46">
        <v>0.0</v>
      </c>
      <c r="J21" s="46">
        <v>0.0</v>
      </c>
      <c r="K21" s="46">
        <v>0.0</v>
      </c>
      <c r="L21" s="46">
        <v>0.0</v>
      </c>
      <c r="M21" s="47">
        <f>SUMIF(D21:L21,"&lt;&gt;")</f>
        <v>0</v>
      </c>
    </row>
    <row r="22" ht="22.5" customHeight="1">
      <c r="A22" s="44">
        <v>21.0</v>
      </c>
      <c r="B22" s="45">
        <v>45647.0</v>
      </c>
      <c r="C22" s="46">
        <f>142.46</f>
        <v>142.46</v>
      </c>
      <c r="D22" s="46">
        <f>90</f>
        <v>90</v>
      </c>
      <c r="E22" s="46">
        <v>0.0</v>
      </c>
      <c r="F22" s="46">
        <v>0.0</v>
      </c>
      <c r="G22" s="46">
        <v>0.0</v>
      </c>
      <c r="H22" s="46">
        <v>0.0</v>
      </c>
      <c r="I22" s="46">
        <v>0.0</v>
      </c>
      <c r="J22" s="46">
        <v>0.0</v>
      </c>
      <c r="K22" s="46">
        <v>0.0</v>
      </c>
      <c r="L22" s="46">
        <v>0.0</v>
      </c>
      <c r="M22" s="47">
        <f t="shared" ref="M22:M32" si="4">SUMIF(C22:L22,"&lt;&gt;")</f>
        <v>232.46</v>
      </c>
    </row>
    <row r="23" ht="22.5" customHeight="1">
      <c r="A23" s="44">
        <v>22.0</v>
      </c>
      <c r="B23" s="45">
        <v>45648.0</v>
      </c>
      <c r="C23" s="46">
        <f>1087.41</f>
        <v>1087.41</v>
      </c>
      <c r="D23" s="46">
        <v>0.0</v>
      </c>
      <c r="E23" s="46">
        <f>250</f>
        <v>250</v>
      </c>
      <c r="F23" s="46">
        <v>0.0</v>
      </c>
      <c r="G23" s="46">
        <v>0.0</v>
      </c>
      <c r="H23" s="46">
        <f>1382.5</f>
        <v>1382.5</v>
      </c>
      <c r="I23" s="46">
        <v>0.0</v>
      </c>
      <c r="J23" s="46">
        <v>0.0</v>
      </c>
      <c r="K23" s="46">
        <v>0.0</v>
      </c>
      <c r="L23" s="46">
        <v>0.0</v>
      </c>
      <c r="M23" s="47">
        <f t="shared" si="4"/>
        <v>2719.91</v>
      </c>
    </row>
    <row r="24" ht="22.5" customHeight="1">
      <c r="A24" s="44">
        <v>23.0</v>
      </c>
      <c r="B24" s="45">
        <v>45649.0</v>
      </c>
      <c r="C24" s="46">
        <v>0.0</v>
      </c>
      <c r="D24" s="46">
        <v>0.0</v>
      </c>
      <c r="E24" s="46">
        <v>0.0</v>
      </c>
      <c r="F24" s="46">
        <v>0.0</v>
      </c>
      <c r="G24" s="46">
        <v>0.0</v>
      </c>
      <c r="H24" s="46">
        <f>38.01</f>
        <v>38.01</v>
      </c>
      <c r="I24" s="46">
        <v>0.0</v>
      </c>
      <c r="J24" s="46">
        <v>0.0</v>
      </c>
      <c r="K24" s="46">
        <v>0.0</v>
      </c>
      <c r="L24" s="46">
        <f>1799*2</f>
        <v>3598</v>
      </c>
      <c r="M24" s="47">
        <f t="shared" si="4"/>
        <v>3636.01</v>
      </c>
    </row>
    <row r="25" ht="22.5" customHeight="1">
      <c r="A25" s="44">
        <v>24.0</v>
      </c>
      <c r="B25" s="45">
        <v>45650.0</v>
      </c>
      <c r="C25" s="46">
        <f>362.51+45+250.62</f>
        <v>658.13</v>
      </c>
      <c r="D25" s="46">
        <v>0.0</v>
      </c>
      <c r="E25" s="46">
        <v>0.0</v>
      </c>
      <c r="F25" s="46">
        <v>0.0</v>
      </c>
      <c r="G25" s="46">
        <v>0.0</v>
      </c>
      <c r="H25" s="46">
        <v>0.0</v>
      </c>
      <c r="I25" s="46">
        <v>0.0</v>
      </c>
      <c r="J25" s="46">
        <v>0.0</v>
      </c>
      <c r="K25" s="46">
        <v>0.0</v>
      </c>
      <c r="L25" s="46">
        <f>200.32+465.3</f>
        <v>665.62</v>
      </c>
      <c r="M25" s="47">
        <f t="shared" si="4"/>
        <v>1323.75</v>
      </c>
    </row>
    <row r="26" ht="22.5" customHeight="1">
      <c r="A26" s="44">
        <v>25.0</v>
      </c>
      <c r="B26" s="45">
        <v>45651.0</v>
      </c>
      <c r="C26" s="46">
        <v>0.0</v>
      </c>
      <c r="D26" s="46">
        <v>0.0</v>
      </c>
      <c r="E26" s="46">
        <v>0.0</v>
      </c>
      <c r="F26" s="46">
        <v>0.0</v>
      </c>
      <c r="G26" s="46">
        <v>0.0</v>
      </c>
      <c r="H26" s="46">
        <v>0.0</v>
      </c>
      <c r="I26" s="46">
        <v>0.0</v>
      </c>
      <c r="J26" s="46">
        <v>0.0</v>
      </c>
      <c r="K26" s="46">
        <v>0.0</v>
      </c>
      <c r="L26" s="46">
        <v>0.0</v>
      </c>
      <c r="M26" s="47">
        <f t="shared" si="4"/>
        <v>0</v>
      </c>
    </row>
    <row r="27" ht="22.5" customHeight="1">
      <c r="A27" s="44">
        <v>26.0</v>
      </c>
      <c r="B27" s="45">
        <v>45652.0</v>
      </c>
      <c r="C27" s="46">
        <f>265.44</f>
        <v>265.44</v>
      </c>
      <c r="D27" s="46">
        <v>0.0</v>
      </c>
      <c r="E27" s="46">
        <v>0.0</v>
      </c>
      <c r="F27" s="46">
        <v>0.0</v>
      </c>
      <c r="G27" s="46">
        <v>0.0</v>
      </c>
      <c r="H27" s="46">
        <v>0.0</v>
      </c>
      <c r="I27" s="46">
        <v>0.0</v>
      </c>
      <c r="J27" s="46">
        <v>0.0</v>
      </c>
      <c r="K27" s="46">
        <v>0.0</v>
      </c>
      <c r="L27" s="46">
        <v>0.0</v>
      </c>
      <c r="M27" s="47">
        <f t="shared" si="4"/>
        <v>265.44</v>
      </c>
    </row>
    <row r="28" ht="22.5" customHeight="1">
      <c r="A28" s="44">
        <v>27.0</v>
      </c>
      <c r="B28" s="45">
        <v>45653.0</v>
      </c>
      <c r="C28" s="46">
        <f>73.5</f>
        <v>73.5</v>
      </c>
      <c r="D28" s="46">
        <v>0.0</v>
      </c>
      <c r="E28" s="46">
        <v>0.0</v>
      </c>
      <c r="F28" s="46">
        <v>0.0</v>
      </c>
      <c r="G28" s="46">
        <v>0.0</v>
      </c>
      <c r="H28" s="46">
        <v>0.0</v>
      </c>
      <c r="I28" s="46">
        <v>0.0</v>
      </c>
      <c r="J28" s="46">
        <v>0.0</v>
      </c>
      <c r="K28" s="46">
        <v>0.0</v>
      </c>
      <c r="L28" s="46">
        <v>0.0</v>
      </c>
      <c r="M28" s="47">
        <f t="shared" si="4"/>
        <v>73.5</v>
      </c>
    </row>
    <row r="29" ht="22.5" customHeight="1">
      <c r="A29" s="44">
        <v>28.0</v>
      </c>
      <c r="B29" s="45">
        <v>45654.0</v>
      </c>
      <c r="C29" s="46">
        <f>150+40.46</f>
        <v>190.46</v>
      </c>
      <c r="D29" s="46">
        <f>100</f>
        <v>100</v>
      </c>
      <c r="E29" s="46">
        <v>0.0</v>
      </c>
      <c r="F29" s="46">
        <v>0.0</v>
      </c>
      <c r="G29" s="46">
        <v>0.0</v>
      </c>
      <c r="H29" s="46">
        <v>0.0</v>
      </c>
      <c r="I29" s="46">
        <v>0.0</v>
      </c>
      <c r="J29" s="46">
        <v>0.0</v>
      </c>
      <c r="K29" s="46">
        <v>0.0</v>
      </c>
      <c r="L29" s="46">
        <v>0.0</v>
      </c>
      <c r="M29" s="47">
        <f t="shared" si="4"/>
        <v>290.46</v>
      </c>
    </row>
    <row r="30" ht="22.5" customHeight="1">
      <c r="A30" s="44">
        <v>29.0</v>
      </c>
      <c r="B30" s="45">
        <v>45655.0</v>
      </c>
      <c r="C30" s="46">
        <f>812.23</f>
        <v>812.23</v>
      </c>
      <c r="D30" s="46">
        <v>0.0</v>
      </c>
      <c r="E30" s="46">
        <v>0.0</v>
      </c>
      <c r="F30" s="46">
        <v>0.0</v>
      </c>
      <c r="G30" s="46">
        <v>0.0</v>
      </c>
      <c r="H30" s="46">
        <v>0.0</v>
      </c>
      <c r="I30" s="46">
        <v>0.0</v>
      </c>
      <c r="J30" s="46">
        <v>0.0</v>
      </c>
      <c r="K30" s="46">
        <v>0.0</v>
      </c>
      <c r="L30" s="46">
        <v>0.0</v>
      </c>
      <c r="M30" s="47">
        <f t="shared" si="4"/>
        <v>812.23</v>
      </c>
    </row>
    <row r="31" ht="22.5" customHeight="1">
      <c r="A31" s="44">
        <v>30.0</v>
      </c>
      <c r="B31" s="45">
        <v>45656.0</v>
      </c>
      <c r="C31" s="46">
        <f>360</f>
        <v>360</v>
      </c>
      <c r="D31" s="46">
        <f>221</f>
        <v>221</v>
      </c>
      <c r="E31" s="46">
        <v>0.0</v>
      </c>
      <c r="F31" s="46">
        <v>0.0</v>
      </c>
      <c r="G31" s="46">
        <v>0.0</v>
      </c>
      <c r="H31" s="46">
        <v>0.0</v>
      </c>
      <c r="I31" s="46">
        <v>0.0</v>
      </c>
      <c r="J31" s="46">
        <v>0.0</v>
      </c>
      <c r="K31" s="46">
        <v>0.0</v>
      </c>
      <c r="L31" s="46">
        <v>0.0</v>
      </c>
      <c r="M31" s="47">
        <f t="shared" si="4"/>
        <v>581</v>
      </c>
    </row>
    <row r="32" ht="22.5" customHeight="1">
      <c r="A32" s="44">
        <v>31.0</v>
      </c>
      <c r="B32" s="45">
        <v>45657.0</v>
      </c>
      <c r="C32" s="46">
        <f>46.21</f>
        <v>46.21</v>
      </c>
      <c r="D32" s="46">
        <v>0.0</v>
      </c>
      <c r="E32" s="46">
        <v>0.0</v>
      </c>
      <c r="F32" s="46">
        <f>5000+2000</f>
        <v>7000</v>
      </c>
      <c r="G32" s="46">
        <f>1208.5</f>
        <v>1208.5</v>
      </c>
      <c r="H32" s="46">
        <v>0.0</v>
      </c>
      <c r="I32" s="46">
        <v>0.0</v>
      </c>
      <c r="J32" s="46">
        <v>0.0</v>
      </c>
      <c r="K32" s="46">
        <v>0.0</v>
      </c>
      <c r="L32" s="46">
        <v>0.0</v>
      </c>
      <c r="M32" s="47">
        <f t="shared" si="4"/>
        <v>8254.71</v>
      </c>
    </row>
  </sheetData>
  <dataValidations>
    <dataValidation type="custom" allowBlank="1" showDropDown="1" sqref="B2:B32">
      <formula1>OR(NOT(ISERROR(DATEVALUE(B2))), AND(ISNUMBER(B2), LEFT(CELL("format", B2))="D"))</formula1>
    </dataValidation>
    <dataValidation type="custom" allowBlank="1" showDropDown="1" sqref="A2:A32 C2:M3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/>
      <c r="B1" s="65" t="s">
        <v>60</v>
      </c>
      <c r="C1" s="66" t="s">
        <v>34</v>
      </c>
      <c r="D1" s="67" t="s">
        <v>35</v>
      </c>
      <c r="E1" s="68" t="s">
        <v>61</v>
      </c>
      <c r="F1" s="68" t="s">
        <v>62</v>
      </c>
      <c r="G1" s="68" t="s">
        <v>40</v>
      </c>
      <c r="H1" s="68" t="s">
        <v>36</v>
      </c>
      <c r="I1" s="68" t="s">
        <v>63</v>
      </c>
      <c r="J1" s="68" t="s">
        <v>64</v>
      </c>
      <c r="K1" s="68" t="s">
        <v>65</v>
      </c>
      <c r="L1" s="68" t="s">
        <v>66</v>
      </c>
      <c r="M1" s="69" t="s">
        <v>67</v>
      </c>
      <c r="N1" s="34"/>
      <c r="O1" s="34"/>
    </row>
    <row r="2">
      <c r="A2" s="70">
        <v>1.0</v>
      </c>
      <c r="B2" s="71">
        <v>45658.0</v>
      </c>
      <c r="C2" s="72">
        <v>0.0</v>
      </c>
      <c r="D2" s="72">
        <v>0.0</v>
      </c>
      <c r="E2" s="72">
        <v>0.0</v>
      </c>
      <c r="F2" s="72">
        <v>0.0</v>
      </c>
      <c r="G2" s="72">
        <v>0.0</v>
      </c>
      <c r="H2" s="72">
        <f>17400</f>
        <v>17400</v>
      </c>
      <c r="I2" s="72">
        <v>0.0</v>
      </c>
      <c r="J2" s="72">
        <v>0.0</v>
      </c>
      <c r="K2" s="72">
        <v>0.0</v>
      </c>
      <c r="L2" s="72">
        <v>0.0</v>
      </c>
      <c r="M2" s="73">
        <f>SUMIF(C2:L2,"&lt;&gt;")</f>
        <v>17400</v>
      </c>
      <c r="N2" s="74" t="s">
        <v>68</v>
      </c>
      <c r="O2" s="75">
        <f>+SUM(C2:C32,D2:D32)/ COUNTIFS(C2:C32, "&lt;&gt;", D2:D32, "&lt;&gt;")</f>
        <v>239.4383871</v>
      </c>
    </row>
    <row r="3">
      <c r="A3" s="70">
        <v>2.0</v>
      </c>
      <c r="B3" s="71">
        <v>45659.0</v>
      </c>
      <c r="C3" s="72">
        <v>0.0</v>
      </c>
      <c r="D3" s="72">
        <v>0.0</v>
      </c>
      <c r="E3" s="72">
        <v>0.0</v>
      </c>
      <c r="F3" s="72">
        <v>0.0</v>
      </c>
      <c r="G3" s="72">
        <v>0.0</v>
      </c>
      <c r="H3" s="72">
        <f>470</f>
        <v>470</v>
      </c>
      <c r="I3" s="72">
        <f>25.9</f>
        <v>25.9</v>
      </c>
      <c r="J3" s="72">
        <v>0.0</v>
      </c>
      <c r="K3" s="72">
        <v>0.0</v>
      </c>
      <c r="L3" s="72">
        <v>0.0</v>
      </c>
      <c r="M3" s="73">
        <f>SUMIF(C3:K3,"&lt;&gt;")</f>
        <v>495.9</v>
      </c>
      <c r="N3" s="76" t="s">
        <v>69</v>
      </c>
      <c r="O3" s="77">
        <f>+O13 / COUNTIF(C2:C32, "&lt;&gt;")</f>
        <v>1840.516452</v>
      </c>
    </row>
    <row r="4">
      <c r="A4" s="70">
        <v>3.0</v>
      </c>
      <c r="B4" s="71">
        <v>45660.0</v>
      </c>
      <c r="C4" s="72">
        <v>0.0</v>
      </c>
      <c r="D4" s="72">
        <v>0.0</v>
      </c>
      <c r="E4" s="72">
        <v>0.0</v>
      </c>
      <c r="F4" s="72">
        <v>0.0</v>
      </c>
      <c r="G4" s="72">
        <v>0.0</v>
      </c>
      <c r="H4" s="72">
        <v>0.0</v>
      </c>
      <c r="I4" s="72">
        <f>19.74</f>
        <v>19.74</v>
      </c>
      <c r="J4" s="72">
        <v>0.0</v>
      </c>
      <c r="K4" s="72">
        <v>0.0</v>
      </c>
      <c r="L4" s="72">
        <v>0.0</v>
      </c>
      <c r="M4" s="73">
        <f t="shared" ref="M4:M6" si="1">SUMIF(C4:L4,"&lt;&gt;")</f>
        <v>19.74</v>
      </c>
      <c r="N4" s="74" t="s">
        <v>70</v>
      </c>
      <c r="O4" s="78">
        <f>+SUM(C2:C32)</f>
        <v>4644.85</v>
      </c>
    </row>
    <row r="5">
      <c r="A5" s="70">
        <v>4.0</v>
      </c>
      <c r="B5" s="71">
        <v>45661.0</v>
      </c>
      <c r="C5" s="72">
        <v>0.0</v>
      </c>
      <c r="D5" s="72">
        <v>0.0</v>
      </c>
      <c r="E5" s="72">
        <v>0.0</v>
      </c>
      <c r="F5" s="72">
        <v>0.0</v>
      </c>
      <c r="G5" s="72">
        <v>0.0</v>
      </c>
      <c r="H5" s="72">
        <v>0.0</v>
      </c>
      <c r="I5" s="72">
        <v>0.0</v>
      </c>
      <c r="J5" s="72">
        <v>0.0</v>
      </c>
      <c r="K5" s="72">
        <v>0.0</v>
      </c>
      <c r="L5" s="72">
        <v>0.0</v>
      </c>
      <c r="M5" s="73">
        <f t="shared" si="1"/>
        <v>0</v>
      </c>
      <c r="N5" s="79" t="s">
        <v>71</v>
      </c>
      <c r="O5" s="80">
        <f>+SUM(D2:D32)</f>
        <v>2777.74</v>
      </c>
    </row>
    <row r="6">
      <c r="A6" s="70">
        <v>5.0</v>
      </c>
      <c r="B6" s="71">
        <v>45662.0</v>
      </c>
      <c r="C6" s="72">
        <f>277.41</f>
        <v>277.41</v>
      </c>
      <c r="D6" s="72">
        <f>285</f>
        <v>285</v>
      </c>
      <c r="E6" s="72">
        <v>0.0</v>
      </c>
      <c r="F6" s="72">
        <v>0.0</v>
      </c>
      <c r="G6" s="72">
        <v>0.0</v>
      </c>
      <c r="H6" s="72">
        <v>0.0</v>
      </c>
      <c r="I6" s="72">
        <f>39</f>
        <v>39</v>
      </c>
      <c r="J6" s="72">
        <v>0.0</v>
      </c>
      <c r="K6" s="72">
        <v>0.0</v>
      </c>
      <c r="L6" s="72">
        <v>0.0</v>
      </c>
      <c r="M6" s="73">
        <f t="shared" si="1"/>
        <v>601.41</v>
      </c>
      <c r="N6" s="79" t="s">
        <v>72</v>
      </c>
      <c r="O6" s="81">
        <f>SUM(J2:J32)</f>
        <v>0</v>
      </c>
    </row>
    <row r="7">
      <c r="A7" s="70">
        <v>6.0</v>
      </c>
      <c r="B7" s="71">
        <v>45663.0</v>
      </c>
      <c r="C7" s="72">
        <v>0.0</v>
      </c>
      <c r="D7" s="72">
        <v>0.0</v>
      </c>
      <c r="E7" s="72">
        <f>300</f>
        <v>300</v>
      </c>
      <c r="F7" s="72">
        <v>0.0</v>
      </c>
      <c r="G7" s="72">
        <v>0.0</v>
      </c>
      <c r="H7" s="72">
        <v>0.0</v>
      </c>
      <c r="I7" s="72">
        <v>0.0</v>
      </c>
      <c r="J7" s="72">
        <v>0.0</v>
      </c>
      <c r="K7" s="72">
        <v>0.0</v>
      </c>
      <c r="L7" s="72">
        <v>0.0</v>
      </c>
      <c r="M7" s="73">
        <f t="shared" ref="M7:M8" si="2">SUMIF(C7:K7,"&lt;&gt;")</f>
        <v>300</v>
      </c>
      <c r="N7" s="79" t="s">
        <v>73</v>
      </c>
      <c r="O7" s="82">
        <f>SUM(K2:K32)</f>
        <v>0</v>
      </c>
    </row>
    <row r="8">
      <c r="A8" s="70">
        <v>7.0</v>
      </c>
      <c r="B8" s="71">
        <v>45664.0</v>
      </c>
      <c r="C8" s="72">
        <f>44.58</f>
        <v>44.58</v>
      </c>
      <c r="D8" s="72">
        <v>0.0</v>
      </c>
      <c r="E8" s="72">
        <v>0.0</v>
      </c>
      <c r="F8" s="72">
        <v>0.0</v>
      </c>
      <c r="G8" s="72">
        <f>615</f>
        <v>615</v>
      </c>
      <c r="H8" s="72">
        <v>0.0</v>
      </c>
      <c r="I8" s="72">
        <v>0.0</v>
      </c>
      <c r="J8" s="72">
        <v>0.0</v>
      </c>
      <c r="K8" s="72">
        <v>0.0</v>
      </c>
      <c r="L8" s="72">
        <v>0.0</v>
      </c>
      <c r="M8" s="73">
        <f t="shared" si="2"/>
        <v>659.58</v>
      </c>
      <c r="N8" s="83" t="s">
        <v>74</v>
      </c>
      <c r="O8" s="84">
        <f>+SUM(E2:E32)</f>
        <v>6025.03</v>
      </c>
    </row>
    <row r="9">
      <c r="A9" s="70">
        <v>8.0</v>
      </c>
      <c r="B9" s="71">
        <v>45665.0</v>
      </c>
      <c r="C9" s="72">
        <f>131.5+138.2</f>
        <v>269.7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0.0</v>
      </c>
      <c r="J9" s="72">
        <v>0.0</v>
      </c>
      <c r="K9" s="72">
        <v>0.0</v>
      </c>
      <c r="L9" s="72">
        <v>0.0</v>
      </c>
      <c r="M9" s="73">
        <f t="shared" ref="M9:M20" si="3">SUMIF(C9:L9,"&lt;&gt;")</f>
        <v>269.7</v>
      </c>
      <c r="N9" s="85" t="s">
        <v>75</v>
      </c>
      <c r="O9" s="86">
        <f>Sum(H2:H32)</f>
        <v>23293.7</v>
      </c>
    </row>
    <row r="10">
      <c r="A10" s="70">
        <v>9.0</v>
      </c>
      <c r="B10" s="71">
        <v>45666.0</v>
      </c>
      <c r="C10" s="72">
        <v>0.0</v>
      </c>
      <c r="D10" s="72">
        <v>0.0</v>
      </c>
      <c r="E10" s="72">
        <v>0.0</v>
      </c>
      <c r="F10" s="72">
        <v>0.0</v>
      </c>
      <c r="G10" s="72">
        <v>0.0</v>
      </c>
      <c r="H10" s="72">
        <v>0.0</v>
      </c>
      <c r="I10" s="72">
        <v>0.0</v>
      </c>
      <c r="J10" s="72">
        <v>0.0</v>
      </c>
      <c r="K10" s="72">
        <v>0.0</v>
      </c>
      <c r="L10" s="72">
        <v>0.0</v>
      </c>
      <c r="M10" s="73">
        <f t="shared" si="3"/>
        <v>0</v>
      </c>
      <c r="N10" s="85" t="s">
        <v>76</v>
      </c>
      <c r="O10" s="87">
        <f>SUM(I2:I32)</f>
        <v>188.54</v>
      </c>
    </row>
    <row r="11">
      <c r="A11" s="70">
        <v>10.0</v>
      </c>
      <c r="B11" s="71">
        <v>45667.0</v>
      </c>
      <c r="C11" s="72">
        <v>0.0</v>
      </c>
      <c r="D11" s="72">
        <f>200</f>
        <v>200</v>
      </c>
      <c r="E11" s="72">
        <v>0.0</v>
      </c>
      <c r="F11" s="72">
        <v>0.0</v>
      </c>
      <c r="G11" s="72">
        <v>0.0</v>
      </c>
      <c r="H11" s="72">
        <v>0.0</v>
      </c>
      <c r="I11" s="72">
        <v>0.0</v>
      </c>
      <c r="J11" s="72">
        <v>0.0</v>
      </c>
      <c r="K11" s="72">
        <v>0.0</v>
      </c>
      <c r="L11" s="72">
        <v>0.0</v>
      </c>
      <c r="M11" s="73">
        <f t="shared" si="3"/>
        <v>200</v>
      </c>
      <c r="N11" s="85" t="s">
        <v>77</v>
      </c>
      <c r="O11" s="88">
        <f>+SUM(L2:L32)</f>
        <v>9911.15</v>
      </c>
    </row>
    <row r="12">
      <c r="A12" s="70">
        <v>11.0</v>
      </c>
      <c r="B12" s="71">
        <v>45668.0</v>
      </c>
      <c r="C12" s="72">
        <f>59.95</f>
        <v>59.95</v>
      </c>
      <c r="D12" s="72">
        <v>0.0</v>
      </c>
      <c r="E12" s="72">
        <v>0.0</v>
      </c>
      <c r="F12" s="72">
        <v>0.0</v>
      </c>
      <c r="G12" s="72">
        <v>0.0</v>
      </c>
      <c r="H12" s="72">
        <f>3625.88</f>
        <v>3625.88</v>
      </c>
      <c r="I12" s="72">
        <f>103.9</f>
        <v>103.9</v>
      </c>
      <c r="J12" s="72">
        <v>0.0</v>
      </c>
      <c r="K12" s="72">
        <v>0.0</v>
      </c>
      <c r="L12" s="72">
        <v>0.0</v>
      </c>
      <c r="M12" s="73">
        <f t="shared" si="3"/>
        <v>3789.73</v>
      </c>
      <c r="N12" s="85" t="s">
        <v>40</v>
      </c>
      <c r="O12" s="89">
        <f>sum(G2:G32)</f>
        <v>3215</v>
      </c>
    </row>
    <row r="13">
      <c r="A13" s="70">
        <v>12.0</v>
      </c>
      <c r="B13" s="71">
        <v>45669.0</v>
      </c>
      <c r="C13" s="72">
        <v>0.0</v>
      </c>
      <c r="D13" s="72">
        <v>0.0</v>
      </c>
      <c r="E13" s="72">
        <v>0.0</v>
      </c>
      <c r="F13" s="72">
        <v>0.0</v>
      </c>
      <c r="G13" s="72">
        <v>0.0</v>
      </c>
      <c r="H13" s="72">
        <v>0.0</v>
      </c>
      <c r="I13" s="72">
        <v>0.0</v>
      </c>
      <c r="J13" s="72">
        <v>0.0</v>
      </c>
      <c r="K13" s="72">
        <v>0.0</v>
      </c>
      <c r="L13" s="72">
        <v>0.0</v>
      </c>
      <c r="M13" s="73">
        <f t="shared" si="3"/>
        <v>0</v>
      </c>
      <c r="N13" s="76" t="s">
        <v>45</v>
      </c>
      <c r="O13" s="90">
        <f>+SUM(C2:L32)</f>
        <v>57056.01</v>
      </c>
    </row>
    <row r="14">
      <c r="A14" s="70">
        <v>13.0</v>
      </c>
      <c r="B14" s="71">
        <v>45670.0</v>
      </c>
      <c r="C14" s="72">
        <v>0.0</v>
      </c>
      <c r="D14" s="72">
        <v>0.0</v>
      </c>
      <c r="E14" s="72">
        <v>0.0</v>
      </c>
      <c r="F14" s="72">
        <v>0.0</v>
      </c>
      <c r="G14" s="72">
        <v>0.0</v>
      </c>
      <c r="H14" s="72">
        <v>0.0</v>
      </c>
      <c r="I14" s="72">
        <v>0.0</v>
      </c>
      <c r="J14" s="72">
        <v>0.0</v>
      </c>
      <c r="K14" s="72">
        <v>0.0</v>
      </c>
      <c r="L14" s="72">
        <v>0.0</v>
      </c>
      <c r="M14" s="73">
        <f t="shared" si="3"/>
        <v>0</v>
      </c>
      <c r="N14" s="34"/>
      <c r="O14" s="28"/>
    </row>
    <row r="15">
      <c r="A15" s="70">
        <v>14.0</v>
      </c>
      <c r="B15" s="71">
        <v>45671.0</v>
      </c>
      <c r="C15" s="72">
        <v>0.0</v>
      </c>
      <c r="D15" s="72">
        <v>0.0</v>
      </c>
      <c r="E15" s="72">
        <v>0.0</v>
      </c>
      <c r="F15" s="72">
        <v>0.0</v>
      </c>
      <c r="G15" s="72">
        <v>0.0</v>
      </c>
      <c r="H15" s="72">
        <v>0.0</v>
      </c>
      <c r="I15" s="72">
        <v>0.0</v>
      </c>
      <c r="J15" s="72">
        <v>0.0</v>
      </c>
      <c r="K15" s="72">
        <v>0.0</v>
      </c>
      <c r="L15" s="72">
        <v>0.0</v>
      </c>
      <c r="M15" s="73">
        <f t="shared" si="3"/>
        <v>0</v>
      </c>
      <c r="N15" s="34"/>
      <c r="O15" s="34"/>
    </row>
    <row r="16">
      <c r="A16" s="70">
        <v>15.0</v>
      </c>
      <c r="B16" s="71">
        <v>45672.0</v>
      </c>
      <c r="C16" s="72">
        <v>0.0</v>
      </c>
      <c r="D16" s="72">
        <v>0.0</v>
      </c>
      <c r="E16" s="72">
        <v>0.0</v>
      </c>
      <c r="F16" s="72">
        <v>0.0</v>
      </c>
      <c r="G16" s="72">
        <v>0.0</v>
      </c>
      <c r="H16" s="72">
        <v>0.0</v>
      </c>
      <c r="I16" s="72">
        <v>0.0</v>
      </c>
      <c r="J16" s="72">
        <v>0.0</v>
      </c>
      <c r="K16" s="72">
        <v>0.0</v>
      </c>
      <c r="L16" s="72">
        <v>0.0</v>
      </c>
      <c r="M16" s="73">
        <f t="shared" si="3"/>
        <v>0</v>
      </c>
      <c r="N16" s="34"/>
      <c r="O16" s="34"/>
    </row>
    <row r="17">
      <c r="A17" s="70">
        <v>16.0</v>
      </c>
      <c r="B17" s="71">
        <v>45673.0</v>
      </c>
      <c r="C17" s="72">
        <v>0.0</v>
      </c>
      <c r="D17" s="72">
        <v>0.0</v>
      </c>
      <c r="E17" s="72">
        <v>0.0</v>
      </c>
      <c r="F17" s="72">
        <v>0.0</v>
      </c>
      <c r="G17" s="72">
        <v>0.0</v>
      </c>
      <c r="H17" s="72">
        <v>0.0</v>
      </c>
      <c r="I17" s="72">
        <v>0.0</v>
      </c>
      <c r="J17" s="72">
        <v>0.0</v>
      </c>
      <c r="K17" s="72">
        <v>0.0</v>
      </c>
      <c r="L17" s="72">
        <v>0.0</v>
      </c>
      <c r="M17" s="73">
        <f t="shared" si="3"/>
        <v>0</v>
      </c>
      <c r="N17" s="34"/>
      <c r="O17" s="34"/>
    </row>
    <row r="18">
      <c r="A18" s="70">
        <v>17.0</v>
      </c>
      <c r="B18" s="71">
        <v>45674.0</v>
      </c>
      <c r="C18" s="72">
        <v>0.0</v>
      </c>
      <c r="D18" s="72">
        <v>0.0</v>
      </c>
      <c r="E18" s="72">
        <v>0.0</v>
      </c>
      <c r="F18" s="72">
        <v>0.0</v>
      </c>
      <c r="G18" s="72">
        <v>0.0</v>
      </c>
      <c r="H18" s="72">
        <f>177.5</f>
        <v>177.5</v>
      </c>
      <c r="I18" s="72">
        <v>0.0</v>
      </c>
      <c r="J18" s="72">
        <v>0.0</v>
      </c>
      <c r="K18" s="72">
        <v>0.0</v>
      </c>
      <c r="L18" s="72">
        <v>0.0</v>
      </c>
      <c r="M18" s="73">
        <f t="shared" si="3"/>
        <v>177.5</v>
      </c>
      <c r="N18" s="34"/>
      <c r="O18" s="34"/>
    </row>
    <row r="19">
      <c r="A19" s="70">
        <v>18.0</v>
      </c>
      <c r="B19" s="71">
        <v>45675.0</v>
      </c>
      <c r="C19" s="72">
        <v>0.0</v>
      </c>
      <c r="D19" s="72">
        <f>100</f>
        <v>100</v>
      </c>
      <c r="E19" s="72">
        <v>0.0</v>
      </c>
      <c r="F19" s="72">
        <v>0.0</v>
      </c>
      <c r="G19" s="72">
        <v>0.0</v>
      </c>
      <c r="H19" s="72">
        <v>0.0</v>
      </c>
      <c r="I19" s="72">
        <v>0.0</v>
      </c>
      <c r="J19" s="72">
        <v>0.0</v>
      </c>
      <c r="K19" s="72">
        <v>0.0</v>
      </c>
      <c r="L19" s="72">
        <v>0.0</v>
      </c>
      <c r="M19" s="73">
        <f t="shared" si="3"/>
        <v>100</v>
      </c>
      <c r="N19" s="34"/>
      <c r="O19" s="34"/>
    </row>
    <row r="20">
      <c r="A20" s="70">
        <v>19.0</v>
      </c>
      <c r="B20" s="71">
        <v>45676.0</v>
      </c>
      <c r="C20" s="72">
        <f>88.89</f>
        <v>88.89</v>
      </c>
      <c r="D20" s="72">
        <v>0.0</v>
      </c>
      <c r="E20" s="72">
        <v>0.0</v>
      </c>
      <c r="F20" s="72">
        <v>0.0</v>
      </c>
      <c r="G20" s="72">
        <v>0.0</v>
      </c>
      <c r="H20" s="72">
        <v>0.0</v>
      </c>
      <c r="I20" s="72">
        <v>0.0</v>
      </c>
      <c r="J20" s="72">
        <v>0.0</v>
      </c>
      <c r="K20" s="72">
        <v>0.0</v>
      </c>
      <c r="L20" s="72">
        <v>0.0</v>
      </c>
      <c r="M20" s="73">
        <f t="shared" si="3"/>
        <v>88.89</v>
      </c>
      <c r="N20" s="34"/>
      <c r="O20" s="34"/>
    </row>
    <row r="21">
      <c r="A21" s="70">
        <v>20.0</v>
      </c>
      <c r="B21" s="71">
        <v>45677.0</v>
      </c>
      <c r="C21" s="72">
        <v>0.0</v>
      </c>
      <c r="D21" s="72">
        <v>0.0</v>
      </c>
      <c r="E21" s="72">
        <v>0.0</v>
      </c>
      <c r="F21" s="72">
        <v>0.0</v>
      </c>
      <c r="G21" s="72">
        <v>0.0</v>
      </c>
      <c r="H21" s="72">
        <v>0.0</v>
      </c>
      <c r="I21" s="72">
        <v>0.0</v>
      </c>
      <c r="J21" s="72">
        <v>0.0</v>
      </c>
      <c r="K21" s="72">
        <v>0.0</v>
      </c>
      <c r="L21" s="72">
        <v>0.0</v>
      </c>
      <c r="M21" s="73">
        <f>SUMIF(D21:L21,"&lt;&gt;")</f>
        <v>0</v>
      </c>
      <c r="N21" s="34"/>
      <c r="O21" s="34"/>
    </row>
    <row r="22">
      <c r="A22" s="70">
        <v>21.0</v>
      </c>
      <c r="B22" s="71">
        <v>45678.0</v>
      </c>
      <c r="C22" s="72">
        <f>253.02</f>
        <v>253.02</v>
      </c>
      <c r="D22" s="72">
        <f>839.32</f>
        <v>839.32</v>
      </c>
      <c r="E22" s="72">
        <f>1205</f>
        <v>1205</v>
      </c>
      <c r="F22" s="72">
        <v>0.0</v>
      </c>
      <c r="G22" s="72">
        <v>0.0</v>
      </c>
      <c r="H22" s="72">
        <v>0.0</v>
      </c>
      <c r="I22" s="72">
        <v>0.0</v>
      </c>
      <c r="J22" s="72">
        <v>0.0</v>
      </c>
      <c r="K22" s="72">
        <v>0.0</v>
      </c>
      <c r="L22" s="72">
        <f>9739.91</f>
        <v>9739.91</v>
      </c>
      <c r="M22" s="73">
        <f t="shared" ref="M22:M32" si="4">SUMIF(C22:L22,"&lt;&gt;")</f>
        <v>12037.25</v>
      </c>
      <c r="N22" s="34"/>
      <c r="O22" s="34"/>
    </row>
    <row r="23">
      <c r="A23" s="70">
        <v>22.0</v>
      </c>
      <c r="B23" s="71">
        <v>45679.0</v>
      </c>
      <c r="C23" s="72">
        <f>686.32+144.84+301.57</f>
        <v>1132.73</v>
      </c>
      <c r="D23" s="72">
        <f>116.24</f>
        <v>116.24</v>
      </c>
      <c r="E23" s="72">
        <f>696.71</f>
        <v>696.71</v>
      </c>
      <c r="F23" s="72">
        <v>0.0</v>
      </c>
      <c r="G23" s="72">
        <v>0.0</v>
      </c>
      <c r="H23" s="72">
        <v>0.0</v>
      </c>
      <c r="I23" s="72">
        <v>0.0</v>
      </c>
      <c r="J23" s="72">
        <v>0.0</v>
      </c>
      <c r="K23" s="72">
        <v>0.0</v>
      </c>
      <c r="L23" s="72">
        <v>0.0</v>
      </c>
      <c r="M23" s="73">
        <f t="shared" si="4"/>
        <v>1945.68</v>
      </c>
      <c r="N23" s="34"/>
      <c r="O23" s="34"/>
    </row>
    <row r="24">
      <c r="A24" s="70">
        <v>23.0</v>
      </c>
      <c r="B24" s="71">
        <v>45680.0</v>
      </c>
      <c r="C24" s="72">
        <f>343.63+646.83</f>
        <v>990.46</v>
      </c>
      <c r="D24" s="72">
        <f>1017.18</f>
        <v>1017.18</v>
      </c>
      <c r="E24" s="72">
        <v>0.0</v>
      </c>
      <c r="F24" s="72">
        <v>0.0</v>
      </c>
      <c r="G24" s="72">
        <v>0.0</v>
      </c>
      <c r="H24" s="72">
        <v>0.0</v>
      </c>
      <c r="I24" s="72">
        <v>0.0</v>
      </c>
      <c r="J24" s="72">
        <v>0.0</v>
      </c>
      <c r="K24" s="72">
        <v>0.0</v>
      </c>
      <c r="L24" s="72">
        <v>0.0</v>
      </c>
      <c r="M24" s="73">
        <f t="shared" si="4"/>
        <v>2007.64</v>
      </c>
      <c r="N24" s="34"/>
      <c r="O24" s="34"/>
    </row>
    <row r="25">
      <c r="A25" s="70">
        <v>24.0</v>
      </c>
      <c r="B25" s="71">
        <v>45681.0</v>
      </c>
      <c r="C25" s="72">
        <v>0.0</v>
      </c>
      <c r="D25" s="72">
        <v>0.0</v>
      </c>
      <c r="E25" s="72">
        <f>1963.32</f>
        <v>1963.32</v>
      </c>
      <c r="F25" s="72">
        <v>0.0</v>
      </c>
      <c r="G25" s="72">
        <v>0.0</v>
      </c>
      <c r="H25" s="72">
        <f>200.32</f>
        <v>200.32</v>
      </c>
      <c r="I25" s="72">
        <v>0.0</v>
      </c>
      <c r="J25" s="72">
        <v>0.0</v>
      </c>
      <c r="K25" s="72">
        <v>0.0</v>
      </c>
      <c r="L25" s="72">
        <v>0.0</v>
      </c>
      <c r="M25" s="73">
        <f t="shared" si="4"/>
        <v>2163.64</v>
      </c>
      <c r="N25" s="34"/>
      <c r="O25" s="34"/>
    </row>
    <row r="26">
      <c r="A26" s="70">
        <v>25.0</v>
      </c>
      <c r="B26" s="71">
        <v>45682.0</v>
      </c>
      <c r="C26" s="72">
        <f>886.5+190</f>
        <v>1076.5</v>
      </c>
      <c r="D26" s="72">
        <v>0.0</v>
      </c>
      <c r="E26" s="72">
        <f>780*2</f>
        <v>1560</v>
      </c>
      <c r="F26" s="72">
        <v>0.0</v>
      </c>
      <c r="G26" s="72">
        <v>0.0</v>
      </c>
      <c r="H26" s="72">
        <v>0.0</v>
      </c>
      <c r="I26" s="72">
        <v>0.0</v>
      </c>
      <c r="J26" s="72">
        <v>0.0</v>
      </c>
      <c r="K26" s="72">
        <v>0.0</v>
      </c>
      <c r="L26" s="72">
        <v>0.0</v>
      </c>
      <c r="M26" s="73">
        <f t="shared" si="4"/>
        <v>2636.5</v>
      </c>
      <c r="N26" s="34"/>
      <c r="O26" s="34"/>
    </row>
    <row r="27">
      <c r="A27" s="70">
        <v>26.0</v>
      </c>
      <c r="B27" s="71">
        <v>45683.0</v>
      </c>
      <c r="C27" s="72">
        <f>129.3+142.13</f>
        <v>271.43</v>
      </c>
      <c r="D27" s="72">
        <v>0.0</v>
      </c>
      <c r="E27" s="72">
        <f>300</f>
        <v>300</v>
      </c>
      <c r="F27" s="72">
        <v>0.0</v>
      </c>
      <c r="G27" s="72">
        <v>0.0</v>
      </c>
      <c r="H27" s="72">
        <v>0.0</v>
      </c>
      <c r="I27" s="72">
        <v>0.0</v>
      </c>
      <c r="J27" s="72">
        <v>0.0</v>
      </c>
      <c r="K27" s="72">
        <v>0.0</v>
      </c>
      <c r="L27" s="72">
        <v>0.0</v>
      </c>
      <c r="M27" s="73">
        <f t="shared" si="4"/>
        <v>571.43</v>
      </c>
      <c r="N27" s="34"/>
      <c r="O27" s="34"/>
    </row>
    <row r="28">
      <c r="A28" s="70">
        <v>27.0</v>
      </c>
      <c r="B28" s="71">
        <v>45684.0</v>
      </c>
      <c r="C28" s="72">
        <f>37.5</f>
        <v>37.5</v>
      </c>
      <c r="D28" s="72">
        <f>220</f>
        <v>220</v>
      </c>
      <c r="E28" s="72">
        <v>0.0</v>
      </c>
      <c r="F28" s="72">
        <v>0.0</v>
      </c>
      <c r="G28" s="72">
        <v>0.0</v>
      </c>
      <c r="H28" s="72">
        <v>0.0</v>
      </c>
      <c r="I28" s="72">
        <v>0.0</v>
      </c>
      <c r="J28" s="72">
        <v>0.0</v>
      </c>
      <c r="K28" s="72">
        <v>0.0</v>
      </c>
      <c r="L28" s="72">
        <v>0.0</v>
      </c>
      <c r="M28" s="73">
        <f t="shared" si="4"/>
        <v>257.5</v>
      </c>
      <c r="N28" s="34"/>
      <c r="O28" s="34"/>
    </row>
    <row r="29">
      <c r="A29" s="70">
        <v>28.0</v>
      </c>
      <c r="B29" s="71">
        <v>45685.0</v>
      </c>
      <c r="C29" s="72">
        <v>0.0</v>
      </c>
      <c r="D29" s="72">
        <v>0.0</v>
      </c>
      <c r="E29" s="72">
        <v>0.0</v>
      </c>
      <c r="F29" s="72">
        <v>0.0</v>
      </c>
      <c r="G29" s="72">
        <v>0.0</v>
      </c>
      <c r="H29" s="72">
        <v>0.0</v>
      </c>
      <c r="I29" s="72">
        <v>0.0</v>
      </c>
      <c r="J29" s="72">
        <v>0.0</v>
      </c>
      <c r="K29" s="72">
        <v>0.0</v>
      </c>
      <c r="L29" s="72">
        <f>171.24</f>
        <v>171.24</v>
      </c>
      <c r="M29" s="73">
        <f t="shared" si="4"/>
        <v>171.24</v>
      </c>
      <c r="N29" s="34"/>
      <c r="O29" s="34"/>
    </row>
    <row r="30">
      <c r="A30" s="70">
        <v>29.0</v>
      </c>
      <c r="B30" s="71">
        <v>45686.0</v>
      </c>
      <c r="C30" s="72">
        <f>142.68</f>
        <v>142.68</v>
      </c>
      <c r="D30" s="72">
        <v>0.0</v>
      </c>
      <c r="E30" s="72">
        <v>0.0</v>
      </c>
      <c r="F30" s="72">
        <v>0.0</v>
      </c>
      <c r="G30" s="72">
        <v>0.0</v>
      </c>
      <c r="H30" s="72">
        <v>0.0</v>
      </c>
      <c r="I30" s="72">
        <v>0.0</v>
      </c>
      <c r="J30" s="72">
        <v>0.0</v>
      </c>
      <c r="K30" s="72">
        <v>0.0</v>
      </c>
      <c r="L30" s="72">
        <v>0.0</v>
      </c>
      <c r="M30" s="73">
        <f t="shared" si="4"/>
        <v>142.68</v>
      </c>
      <c r="N30" s="34"/>
      <c r="O30" s="34"/>
    </row>
    <row r="31">
      <c r="A31" s="70">
        <v>30.0</v>
      </c>
      <c r="B31" s="71">
        <v>45687.0</v>
      </c>
      <c r="C31" s="72">
        <v>0.0</v>
      </c>
      <c r="D31" s="72">
        <v>0.0</v>
      </c>
      <c r="E31" s="72">
        <v>0.0</v>
      </c>
      <c r="F31" s="72">
        <v>0.0</v>
      </c>
      <c r="G31" s="72">
        <v>0.0</v>
      </c>
      <c r="H31" s="72">
        <v>0.0</v>
      </c>
      <c r="I31" s="72">
        <v>0.0</v>
      </c>
      <c r="J31" s="72">
        <v>0.0</v>
      </c>
      <c r="K31" s="72">
        <v>0.0</v>
      </c>
      <c r="L31" s="72">
        <v>0.0</v>
      </c>
      <c r="M31" s="73">
        <f t="shared" si="4"/>
        <v>0</v>
      </c>
      <c r="N31" s="34"/>
      <c r="O31" s="34"/>
    </row>
    <row r="32">
      <c r="A32" s="2">
        <v>31.0</v>
      </c>
      <c r="B32" s="91">
        <v>45688.0</v>
      </c>
      <c r="C32" s="72">
        <v>0.0</v>
      </c>
      <c r="D32" s="72">
        <v>0.0</v>
      </c>
      <c r="E32" s="72">
        <v>0.0</v>
      </c>
      <c r="F32" s="72">
        <f>7000</f>
        <v>7000</v>
      </c>
      <c r="G32" s="72">
        <f>2600</f>
        <v>2600</v>
      </c>
      <c r="H32" s="72">
        <f>1420</f>
        <v>1420</v>
      </c>
      <c r="I32" s="72">
        <v>0.0</v>
      </c>
      <c r="J32" s="72">
        <v>0.0</v>
      </c>
      <c r="K32" s="72">
        <v>0.0</v>
      </c>
      <c r="L32" s="72">
        <v>0.0</v>
      </c>
      <c r="M32" s="73">
        <f t="shared" si="4"/>
        <v>11020</v>
      </c>
    </row>
  </sheetData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/>
      <c r="B1" s="65" t="s">
        <v>60</v>
      </c>
      <c r="C1" s="66" t="s">
        <v>34</v>
      </c>
      <c r="D1" s="67" t="s">
        <v>35</v>
      </c>
      <c r="E1" s="68" t="s">
        <v>61</v>
      </c>
      <c r="F1" s="68" t="s">
        <v>62</v>
      </c>
      <c r="G1" s="68" t="s">
        <v>40</v>
      </c>
      <c r="H1" s="68" t="s">
        <v>36</v>
      </c>
      <c r="I1" s="68" t="s">
        <v>63</v>
      </c>
      <c r="J1" s="68" t="s">
        <v>64</v>
      </c>
      <c r="K1" s="68" t="s">
        <v>65</v>
      </c>
      <c r="L1" s="68" t="s">
        <v>66</v>
      </c>
      <c r="M1" s="69" t="s">
        <v>67</v>
      </c>
      <c r="N1" s="34"/>
      <c r="O1" s="34"/>
    </row>
    <row r="2">
      <c r="A2" s="70">
        <v>1.0</v>
      </c>
      <c r="B2" s="71">
        <v>45689.0</v>
      </c>
      <c r="C2" s="92">
        <f>256.2</f>
        <v>256.2</v>
      </c>
      <c r="D2" s="92">
        <v>0.0</v>
      </c>
      <c r="E2" s="92">
        <f>250</f>
        <v>250</v>
      </c>
      <c r="F2" s="92">
        <v>0.0</v>
      </c>
      <c r="G2" s="92">
        <v>0.0</v>
      </c>
      <c r="H2" s="92">
        <f>17400</f>
        <v>17400</v>
      </c>
      <c r="I2" s="92">
        <v>0.0</v>
      </c>
      <c r="J2" s="92">
        <v>0.0</v>
      </c>
      <c r="K2" s="92">
        <v>0.0</v>
      </c>
      <c r="L2" s="92">
        <f>69.7</f>
        <v>69.7</v>
      </c>
      <c r="M2" s="73">
        <f>SUMIF(C2:L2,"&lt;&gt;")</f>
        <v>17975.9</v>
      </c>
      <c r="N2" s="74" t="s">
        <v>68</v>
      </c>
      <c r="O2" s="75">
        <f>+SUM(C2:C29,D2:D29)/ COUNTIFS(C2:C29, "&lt;&gt;", D2:D29, "&lt;&gt;")</f>
        <v>177.6153571</v>
      </c>
    </row>
    <row r="3">
      <c r="A3" s="70">
        <v>2.0</v>
      </c>
      <c r="B3" s="71">
        <v>45690.0</v>
      </c>
      <c r="C3" s="92">
        <f>280.5+40.49+85.11</f>
        <v>406.1</v>
      </c>
      <c r="D3" s="92">
        <v>0.0</v>
      </c>
      <c r="E3" s="92">
        <v>0.0</v>
      </c>
      <c r="F3" s="92">
        <v>0.0</v>
      </c>
      <c r="G3" s="92">
        <v>0.0</v>
      </c>
      <c r="H3" s="92">
        <v>0.0</v>
      </c>
      <c r="I3" s="92">
        <f>25.95</f>
        <v>25.95</v>
      </c>
      <c r="J3" s="92">
        <v>0.0</v>
      </c>
      <c r="K3" s="92">
        <v>0.0</v>
      </c>
      <c r="L3" s="92">
        <v>0.0</v>
      </c>
      <c r="M3" s="73">
        <f>SUMIF(C3:K3,"&lt;&gt;")</f>
        <v>432.05</v>
      </c>
      <c r="N3" s="76" t="s">
        <v>69</v>
      </c>
      <c r="O3" s="77">
        <f>+O13 / COUNTIF(C2:C29, "&lt;&gt;")</f>
        <v>1446.046786</v>
      </c>
    </row>
    <row r="4">
      <c r="A4" s="70">
        <v>3.0</v>
      </c>
      <c r="B4" s="71">
        <v>45691.0</v>
      </c>
      <c r="C4" s="92">
        <v>0.0</v>
      </c>
      <c r="D4" s="92">
        <v>0.0</v>
      </c>
      <c r="E4" s="92">
        <v>0.0</v>
      </c>
      <c r="F4" s="92">
        <v>0.0</v>
      </c>
      <c r="G4" s="92">
        <v>0.0</v>
      </c>
      <c r="H4" s="92">
        <f>470</f>
        <v>470</v>
      </c>
      <c r="I4" s="92">
        <f>19.71</f>
        <v>19.71</v>
      </c>
      <c r="J4" s="92">
        <v>0.0</v>
      </c>
      <c r="K4" s="92">
        <v>0.0</v>
      </c>
      <c r="L4" s="92">
        <v>0.0</v>
      </c>
      <c r="M4" s="73">
        <f t="shared" ref="M4:M6" si="1">SUMIF(C4:L4,"&lt;&gt;")</f>
        <v>489.71</v>
      </c>
      <c r="N4" s="74" t="s">
        <v>70</v>
      </c>
      <c r="O4" s="78">
        <f>+SUM(C2:C29)</f>
        <v>2964.23</v>
      </c>
    </row>
    <row r="5">
      <c r="A5" s="70">
        <v>4.0</v>
      </c>
      <c r="B5" s="71">
        <v>45692.0</v>
      </c>
      <c r="C5" s="92">
        <f>85</f>
        <v>85</v>
      </c>
      <c r="D5" s="92">
        <v>0.0</v>
      </c>
      <c r="E5" s="92">
        <v>0.0</v>
      </c>
      <c r="F5" s="92">
        <v>0.0</v>
      </c>
      <c r="G5" s="92">
        <v>0.0</v>
      </c>
      <c r="H5" s="92">
        <v>0.0</v>
      </c>
      <c r="I5" s="92">
        <v>0.0</v>
      </c>
      <c r="J5" s="92">
        <v>0.0</v>
      </c>
      <c r="K5" s="92">
        <v>0.0</v>
      </c>
      <c r="L5" s="92">
        <v>0.0</v>
      </c>
      <c r="M5" s="73">
        <f t="shared" si="1"/>
        <v>85</v>
      </c>
      <c r="N5" s="79" t="s">
        <v>71</v>
      </c>
      <c r="O5" s="80">
        <f>+SUM(D2:D29)</f>
        <v>2009</v>
      </c>
    </row>
    <row r="6">
      <c r="A6" s="70">
        <v>5.0</v>
      </c>
      <c r="B6" s="71">
        <v>45693.0</v>
      </c>
      <c r="C6" s="92">
        <v>0.0</v>
      </c>
      <c r="D6" s="92">
        <f>635</f>
        <v>635</v>
      </c>
      <c r="E6" s="92">
        <v>0.0</v>
      </c>
      <c r="F6" s="92">
        <v>0.0</v>
      </c>
      <c r="G6" s="92">
        <v>0.0</v>
      </c>
      <c r="H6" s="92">
        <v>0.0</v>
      </c>
      <c r="I6" s="92">
        <f>39</f>
        <v>39</v>
      </c>
      <c r="J6" s="92">
        <v>0.0</v>
      </c>
      <c r="K6" s="92">
        <v>0.0</v>
      </c>
      <c r="L6" s="92">
        <v>0.0</v>
      </c>
      <c r="M6" s="73">
        <f t="shared" si="1"/>
        <v>674</v>
      </c>
      <c r="N6" s="79" t="s">
        <v>72</v>
      </c>
      <c r="O6" s="81">
        <f>SUM(J2:J29)</f>
        <v>300</v>
      </c>
    </row>
    <row r="7">
      <c r="A7" s="70">
        <v>6.0</v>
      </c>
      <c r="B7" s="71">
        <v>45694.0</v>
      </c>
      <c r="C7" s="92">
        <f>29+49.99</f>
        <v>78.99</v>
      </c>
      <c r="D7" s="92">
        <v>0.0</v>
      </c>
      <c r="E7" s="92">
        <v>0.0</v>
      </c>
      <c r="F7" s="92">
        <v>0.0</v>
      </c>
      <c r="G7" s="92">
        <v>0.0</v>
      </c>
      <c r="H7" s="92">
        <v>0.0</v>
      </c>
      <c r="I7" s="92">
        <v>0.0</v>
      </c>
      <c r="J7" s="92">
        <v>0.0</v>
      </c>
      <c r="K7" s="92">
        <v>0.0</v>
      </c>
      <c r="L7" s="92">
        <v>0.0</v>
      </c>
      <c r="M7" s="73">
        <f t="shared" ref="M7:M8" si="2">SUMIF(C7:K7,"&lt;&gt;")</f>
        <v>78.99</v>
      </c>
      <c r="N7" s="79" t="s">
        <v>73</v>
      </c>
      <c r="O7" s="82">
        <f>SUM(K2:K29)</f>
        <v>0</v>
      </c>
    </row>
    <row r="8">
      <c r="A8" s="70">
        <v>7.0</v>
      </c>
      <c r="B8" s="71">
        <v>45695.0</v>
      </c>
      <c r="C8" s="92">
        <f>60</f>
        <v>60</v>
      </c>
      <c r="D8" s="92">
        <f>380</f>
        <v>380</v>
      </c>
      <c r="E8" s="92">
        <v>0.0</v>
      </c>
      <c r="F8" s="92">
        <v>0.0</v>
      </c>
      <c r="G8" s="92">
        <v>0.0</v>
      </c>
      <c r="H8" s="92">
        <v>0.0</v>
      </c>
      <c r="I8" s="92">
        <v>0.0</v>
      </c>
      <c r="J8" s="92">
        <v>0.0</v>
      </c>
      <c r="K8" s="92">
        <v>0.0</v>
      </c>
      <c r="L8" s="92">
        <v>0.0</v>
      </c>
      <c r="M8" s="73">
        <f t="shared" si="2"/>
        <v>440</v>
      </c>
      <c r="N8" s="83" t="s">
        <v>74</v>
      </c>
      <c r="O8" s="84">
        <f>+SUM(E2:E29)</f>
        <v>454.99</v>
      </c>
    </row>
    <row r="9">
      <c r="A9" s="70">
        <v>8.0</v>
      </c>
      <c r="B9" s="71">
        <v>45696.0</v>
      </c>
      <c r="C9" s="92">
        <f>355.29</f>
        <v>355.29</v>
      </c>
      <c r="D9" s="92">
        <v>0.0</v>
      </c>
      <c r="E9" s="92">
        <v>0.0</v>
      </c>
      <c r="F9" s="92">
        <v>0.0</v>
      </c>
      <c r="G9" s="92">
        <f>671.5</f>
        <v>671.5</v>
      </c>
      <c r="H9" s="92">
        <v>0.0</v>
      </c>
      <c r="I9" s="92">
        <v>0.0</v>
      </c>
      <c r="J9" s="92">
        <v>0.0</v>
      </c>
      <c r="K9" s="92">
        <v>0.0</v>
      </c>
      <c r="L9" s="92">
        <v>0.0</v>
      </c>
      <c r="M9" s="73">
        <f t="shared" ref="M9:M20" si="3">SUMIF(C9:L9,"&lt;&gt;")</f>
        <v>1026.79</v>
      </c>
      <c r="N9" s="85" t="s">
        <v>75</v>
      </c>
      <c r="O9" s="86">
        <f>Sum(H2:H29)</f>
        <v>29469.09</v>
      </c>
    </row>
    <row r="10">
      <c r="A10" s="70">
        <v>9.0</v>
      </c>
      <c r="B10" s="71">
        <v>45697.0</v>
      </c>
      <c r="C10" s="92">
        <v>0.0</v>
      </c>
      <c r="D10" s="92">
        <v>0.0</v>
      </c>
      <c r="E10" s="92">
        <v>0.0</v>
      </c>
      <c r="F10" s="92">
        <v>0.0</v>
      </c>
      <c r="G10" s="92">
        <v>0.0</v>
      </c>
      <c r="H10" s="92">
        <v>0.0</v>
      </c>
      <c r="I10" s="92">
        <v>0.0</v>
      </c>
      <c r="J10" s="92">
        <v>0.0</v>
      </c>
      <c r="K10" s="92">
        <v>0.0</v>
      </c>
      <c r="L10" s="92">
        <v>0.0</v>
      </c>
      <c r="M10" s="73">
        <f t="shared" si="3"/>
        <v>0</v>
      </c>
      <c r="N10" s="85" t="s">
        <v>76</v>
      </c>
      <c r="O10" s="87">
        <f>SUM(I2:I29)</f>
        <v>84.66</v>
      </c>
    </row>
    <row r="11">
      <c r="A11" s="70">
        <v>10.0</v>
      </c>
      <c r="B11" s="71">
        <v>45698.0</v>
      </c>
      <c r="C11" s="92">
        <v>0.0</v>
      </c>
      <c r="D11" s="92">
        <v>0.0</v>
      </c>
      <c r="E11" s="92">
        <v>0.0</v>
      </c>
      <c r="F11" s="92">
        <v>0.0</v>
      </c>
      <c r="G11" s="92">
        <v>0.0</v>
      </c>
      <c r="H11" s="92">
        <v>0.0</v>
      </c>
      <c r="I11" s="92">
        <v>0.0</v>
      </c>
      <c r="J11" s="92">
        <v>0.0</v>
      </c>
      <c r="K11" s="92">
        <v>0.0</v>
      </c>
      <c r="L11" s="92">
        <f>320</f>
        <v>320</v>
      </c>
      <c r="M11" s="73">
        <f t="shared" si="3"/>
        <v>320</v>
      </c>
      <c r="N11" s="85" t="s">
        <v>77</v>
      </c>
      <c r="O11" s="88">
        <f>+SUM(L2:L29)</f>
        <v>3184.7</v>
      </c>
    </row>
    <row r="12">
      <c r="A12" s="70">
        <v>11.0</v>
      </c>
      <c r="B12" s="71">
        <v>45699.0</v>
      </c>
      <c r="C12" s="92">
        <v>0.0</v>
      </c>
      <c r="D12" s="92">
        <v>0.0</v>
      </c>
      <c r="E12" s="92">
        <v>0.0</v>
      </c>
      <c r="F12" s="92">
        <v>0.0</v>
      </c>
      <c r="G12" s="92">
        <v>0.0</v>
      </c>
      <c r="H12" s="92">
        <f>3625.88</f>
        <v>3625.88</v>
      </c>
      <c r="I12" s="92">
        <v>0.0</v>
      </c>
      <c r="J12" s="92">
        <f>300</f>
        <v>300</v>
      </c>
      <c r="K12" s="92">
        <v>0.0</v>
      </c>
      <c r="L12" s="92">
        <v>0.0</v>
      </c>
      <c r="M12" s="73">
        <f t="shared" si="3"/>
        <v>3925.88</v>
      </c>
      <c r="N12" s="85" t="s">
        <v>40</v>
      </c>
      <c r="O12" s="89">
        <f>sum(G2:G29)</f>
        <v>2022.64</v>
      </c>
    </row>
    <row r="13">
      <c r="A13" s="70">
        <v>12.0</v>
      </c>
      <c r="B13" s="71">
        <v>45700.0</v>
      </c>
      <c r="C13" s="92">
        <v>0.0</v>
      </c>
      <c r="D13" s="92">
        <f>250</f>
        <v>250</v>
      </c>
      <c r="E13" s="92">
        <v>0.0</v>
      </c>
      <c r="F13" s="92">
        <v>0.0</v>
      </c>
      <c r="G13" s="92">
        <v>0.0</v>
      </c>
      <c r="H13" s="92">
        <f>5666.5</f>
        <v>5666.5</v>
      </c>
      <c r="I13" s="92">
        <v>0.0</v>
      </c>
      <c r="J13" s="92">
        <v>0.0</v>
      </c>
      <c r="K13" s="92">
        <v>0.0</v>
      </c>
      <c r="L13" s="92">
        <v>0.0</v>
      </c>
      <c r="M13" s="73">
        <f t="shared" si="3"/>
        <v>5916.5</v>
      </c>
      <c r="N13" s="76" t="s">
        <v>45</v>
      </c>
      <c r="O13" s="90">
        <f>+SUM(C2:L29)</f>
        <v>40489.31</v>
      </c>
    </row>
    <row r="14">
      <c r="A14" s="70">
        <v>13.0</v>
      </c>
      <c r="B14" s="71">
        <v>45701.0</v>
      </c>
      <c r="C14" s="92">
        <f>94</f>
        <v>94</v>
      </c>
      <c r="D14" s="92">
        <v>0.0</v>
      </c>
      <c r="E14" s="92">
        <v>0.0</v>
      </c>
      <c r="F14" s="92">
        <v>0.0</v>
      </c>
      <c r="G14" s="92">
        <v>0.0</v>
      </c>
      <c r="H14" s="92">
        <v>0.0</v>
      </c>
      <c r="I14" s="92">
        <v>0.0</v>
      </c>
      <c r="J14" s="92">
        <v>0.0</v>
      </c>
      <c r="K14" s="92">
        <v>0.0</v>
      </c>
      <c r="L14" s="92">
        <f>360</f>
        <v>360</v>
      </c>
      <c r="M14" s="73">
        <f t="shared" si="3"/>
        <v>454</v>
      </c>
      <c r="N14" s="34"/>
      <c r="O14" s="28"/>
    </row>
    <row r="15">
      <c r="A15" s="70">
        <v>14.0</v>
      </c>
      <c r="B15" s="71">
        <v>45702.0</v>
      </c>
      <c r="C15" s="92">
        <v>0.0</v>
      </c>
      <c r="D15" s="92">
        <v>0.0</v>
      </c>
      <c r="E15" s="92">
        <v>0.0</v>
      </c>
      <c r="F15" s="92">
        <v>0.0</v>
      </c>
      <c r="G15" s="92">
        <v>0.0</v>
      </c>
      <c r="H15" s="92">
        <v>0.0</v>
      </c>
      <c r="I15" s="92">
        <v>0.0</v>
      </c>
      <c r="J15" s="92">
        <v>0.0</v>
      </c>
      <c r="K15" s="92">
        <v>0.0</v>
      </c>
      <c r="L15" s="92">
        <v>0.0</v>
      </c>
      <c r="M15" s="73">
        <f t="shared" si="3"/>
        <v>0</v>
      </c>
      <c r="N15" s="34"/>
      <c r="O15" s="34"/>
    </row>
    <row r="16">
      <c r="A16" s="70">
        <v>15.0</v>
      </c>
      <c r="B16" s="71">
        <v>45703.0</v>
      </c>
      <c r="C16" s="92">
        <f>125.77</f>
        <v>125.77</v>
      </c>
      <c r="D16" s="92">
        <v>0.0</v>
      </c>
      <c r="E16" s="92">
        <f>204.99</f>
        <v>204.99</v>
      </c>
      <c r="F16" s="92">
        <v>0.0</v>
      </c>
      <c r="G16" s="92">
        <v>0.0</v>
      </c>
      <c r="H16" s="92">
        <v>0.0</v>
      </c>
      <c r="I16" s="92">
        <v>0.0</v>
      </c>
      <c r="J16" s="92">
        <v>0.0</v>
      </c>
      <c r="K16" s="92">
        <v>0.0</v>
      </c>
      <c r="L16" s="92">
        <v>0.0</v>
      </c>
      <c r="M16" s="73">
        <f t="shared" si="3"/>
        <v>330.76</v>
      </c>
      <c r="N16" s="34"/>
      <c r="O16" s="34"/>
    </row>
    <row r="17">
      <c r="A17" s="70">
        <v>16.0</v>
      </c>
      <c r="B17" s="71">
        <v>45704.0</v>
      </c>
      <c r="C17" s="92">
        <f>76.9+57.75</f>
        <v>134.65</v>
      </c>
      <c r="D17" s="92">
        <v>0.0</v>
      </c>
      <c r="E17" s="92">
        <v>0.0</v>
      </c>
      <c r="F17" s="92">
        <v>0.0</v>
      </c>
      <c r="G17" s="92">
        <v>0.0</v>
      </c>
      <c r="H17" s="92">
        <v>0.0</v>
      </c>
      <c r="I17" s="92">
        <v>0.0</v>
      </c>
      <c r="J17" s="92">
        <v>0.0</v>
      </c>
      <c r="K17" s="92">
        <v>0.0</v>
      </c>
      <c r="L17" s="92">
        <v>0.0</v>
      </c>
      <c r="M17" s="73">
        <f t="shared" si="3"/>
        <v>134.65</v>
      </c>
      <c r="N17" s="34"/>
      <c r="O17" s="34"/>
    </row>
    <row r="18">
      <c r="A18" s="70">
        <v>17.0</v>
      </c>
      <c r="B18" s="71">
        <v>45705.0</v>
      </c>
      <c r="C18" s="92">
        <f>139.57+62.79</f>
        <v>202.36</v>
      </c>
      <c r="D18" s="92">
        <v>0.0</v>
      </c>
      <c r="E18" s="92">
        <v>0.0</v>
      </c>
      <c r="F18" s="92">
        <v>0.0</v>
      </c>
      <c r="G18" s="92">
        <v>0.0</v>
      </c>
      <c r="H18" s="92">
        <f>177.5+593.06</f>
        <v>770.56</v>
      </c>
      <c r="I18" s="92">
        <v>0.0</v>
      </c>
      <c r="J18" s="92">
        <v>0.0</v>
      </c>
      <c r="K18" s="92">
        <v>0.0</v>
      </c>
      <c r="L18" s="92">
        <v>0.0</v>
      </c>
      <c r="M18" s="73">
        <f t="shared" si="3"/>
        <v>972.92</v>
      </c>
      <c r="N18" s="34"/>
      <c r="O18" s="34"/>
    </row>
    <row r="19">
      <c r="A19" s="70">
        <v>18.0</v>
      </c>
      <c r="B19" s="71">
        <v>45706.0</v>
      </c>
      <c r="C19" s="92">
        <v>0.0</v>
      </c>
      <c r="D19" s="92">
        <v>0.0</v>
      </c>
      <c r="E19" s="92">
        <v>0.0</v>
      </c>
      <c r="F19" s="92">
        <v>0.0</v>
      </c>
      <c r="G19" s="92">
        <f>1351.14</f>
        <v>1351.14</v>
      </c>
      <c r="H19" s="92">
        <v>0.0</v>
      </c>
      <c r="I19" s="92">
        <v>0.0</v>
      </c>
      <c r="J19" s="92">
        <v>0.0</v>
      </c>
      <c r="K19" s="92">
        <v>0.0</v>
      </c>
      <c r="L19" s="92">
        <v>0.0</v>
      </c>
      <c r="M19" s="73">
        <f t="shared" si="3"/>
        <v>1351.14</v>
      </c>
      <c r="N19" s="34"/>
      <c r="O19" s="34"/>
    </row>
    <row r="20">
      <c r="A20" s="70">
        <v>19.0</v>
      </c>
      <c r="B20" s="71">
        <v>45707.0</v>
      </c>
      <c r="C20" s="92">
        <f>63.75</f>
        <v>63.75</v>
      </c>
      <c r="D20" s="92">
        <v>0.0</v>
      </c>
      <c r="E20" s="92">
        <v>0.0</v>
      </c>
      <c r="F20" s="92">
        <v>0.0</v>
      </c>
      <c r="G20" s="92">
        <v>0.0</v>
      </c>
      <c r="H20" s="92">
        <f>1335.83</f>
        <v>1335.83</v>
      </c>
      <c r="I20" s="92">
        <v>0.0</v>
      </c>
      <c r="J20" s="92">
        <v>0.0</v>
      </c>
      <c r="K20" s="92">
        <v>0.0</v>
      </c>
      <c r="L20" s="92">
        <v>0.0</v>
      </c>
      <c r="M20" s="73">
        <f t="shared" si="3"/>
        <v>1399.58</v>
      </c>
      <c r="N20" s="34"/>
      <c r="O20" s="34"/>
    </row>
    <row r="21">
      <c r="A21" s="70">
        <v>20.0</v>
      </c>
      <c r="B21" s="71">
        <v>45708.0</v>
      </c>
      <c r="C21" s="92">
        <f>158</f>
        <v>158</v>
      </c>
      <c r="D21" s="92">
        <v>0.0</v>
      </c>
      <c r="E21" s="92">
        <v>0.0</v>
      </c>
      <c r="F21" s="92">
        <v>0.0</v>
      </c>
      <c r="G21" s="92">
        <v>0.0</v>
      </c>
      <c r="H21" s="92">
        <v>0.0</v>
      </c>
      <c r="I21" s="92">
        <v>0.0</v>
      </c>
      <c r="J21" s="92">
        <v>0.0</v>
      </c>
      <c r="K21" s="92">
        <v>0.0</v>
      </c>
      <c r="L21" s="92">
        <f>350</f>
        <v>350</v>
      </c>
      <c r="M21" s="73">
        <f>SUMIF(D21:L21,"&lt;&gt;")</f>
        <v>350</v>
      </c>
      <c r="N21" s="34"/>
      <c r="O21" s="34"/>
    </row>
    <row r="22">
      <c r="A22" s="70">
        <v>21.0</v>
      </c>
      <c r="B22" s="71">
        <v>45709.0</v>
      </c>
      <c r="C22" s="92">
        <f>83.9</f>
        <v>83.9</v>
      </c>
      <c r="D22" s="92">
        <v>0.0</v>
      </c>
      <c r="E22" s="92">
        <v>0.0</v>
      </c>
      <c r="F22" s="92">
        <v>0.0</v>
      </c>
      <c r="G22" s="92">
        <v>0.0</v>
      </c>
      <c r="H22" s="92">
        <v>0.0</v>
      </c>
      <c r="I22" s="92">
        <v>0.0</v>
      </c>
      <c r="J22" s="92">
        <v>0.0</v>
      </c>
      <c r="K22" s="92">
        <v>0.0</v>
      </c>
      <c r="L22" s="92">
        <v>0.0</v>
      </c>
      <c r="M22" s="73">
        <f t="shared" ref="M22:M29" si="4">SUMIF(C22:L22,"&lt;&gt;")</f>
        <v>83.9</v>
      </c>
      <c r="N22" s="34"/>
      <c r="O22" s="34"/>
    </row>
    <row r="23">
      <c r="A23" s="70">
        <v>22.0</v>
      </c>
      <c r="B23" s="71">
        <v>45710.0</v>
      </c>
      <c r="C23" s="92">
        <f>52.5+138.75</f>
        <v>191.25</v>
      </c>
      <c r="D23" s="92">
        <f>510</f>
        <v>510</v>
      </c>
      <c r="E23" s="92">
        <v>0.0</v>
      </c>
      <c r="F23" s="92">
        <v>0.0</v>
      </c>
      <c r="G23" s="92">
        <v>0.0</v>
      </c>
      <c r="H23" s="92">
        <v>0.0</v>
      </c>
      <c r="I23" s="92">
        <v>0.0</v>
      </c>
      <c r="J23" s="92">
        <v>0.0</v>
      </c>
      <c r="K23" s="92">
        <v>0.0</v>
      </c>
      <c r="L23" s="92">
        <f>140+160+35</f>
        <v>335</v>
      </c>
      <c r="M23" s="73">
        <f t="shared" si="4"/>
        <v>1036.25</v>
      </c>
      <c r="N23" s="34"/>
      <c r="O23" s="34"/>
    </row>
    <row r="24">
      <c r="A24" s="70">
        <v>23.0</v>
      </c>
      <c r="B24" s="71">
        <v>45711.0</v>
      </c>
      <c r="C24" s="92">
        <f>57+15.59+90.5</f>
        <v>163.09</v>
      </c>
      <c r="D24" s="92">
        <v>0.0</v>
      </c>
      <c r="E24" s="92">
        <v>0.0</v>
      </c>
      <c r="F24" s="92">
        <v>0.0</v>
      </c>
      <c r="G24" s="92">
        <v>0.0</v>
      </c>
      <c r="H24" s="92">
        <v>0.0</v>
      </c>
      <c r="I24" s="92">
        <v>0.0</v>
      </c>
      <c r="J24" s="92">
        <v>0.0</v>
      </c>
      <c r="K24" s="92">
        <v>0.0</v>
      </c>
      <c r="L24" s="92">
        <f>450</f>
        <v>450</v>
      </c>
      <c r="M24" s="73">
        <f t="shared" si="4"/>
        <v>613.09</v>
      </c>
      <c r="N24" s="34"/>
      <c r="O24" s="34"/>
    </row>
    <row r="25">
      <c r="A25" s="70">
        <v>24.0</v>
      </c>
      <c r="B25" s="71">
        <v>45712.0</v>
      </c>
      <c r="C25" s="92">
        <f>92</f>
        <v>92</v>
      </c>
      <c r="D25" s="92">
        <v>0.0</v>
      </c>
      <c r="E25" s="92">
        <v>0.0</v>
      </c>
      <c r="F25" s="92">
        <v>0.0</v>
      </c>
      <c r="G25" s="92">
        <v>0.0</v>
      </c>
      <c r="H25" s="92">
        <f>200.32</f>
        <v>200.32</v>
      </c>
      <c r="I25" s="92">
        <v>0.0</v>
      </c>
      <c r="J25" s="92">
        <v>0.0</v>
      </c>
      <c r="K25" s="92">
        <v>0.0</v>
      </c>
      <c r="L25" s="92">
        <v>0.0</v>
      </c>
      <c r="M25" s="73">
        <f t="shared" si="4"/>
        <v>292.32</v>
      </c>
      <c r="N25" s="34"/>
      <c r="O25" s="34"/>
    </row>
    <row r="26">
      <c r="A26" s="70">
        <v>25.0</v>
      </c>
      <c r="B26" s="71">
        <v>45713.0</v>
      </c>
      <c r="C26" s="92">
        <v>0.0</v>
      </c>
      <c r="D26" s="92">
        <f>234</f>
        <v>234</v>
      </c>
      <c r="E26" s="92">
        <v>0.0</v>
      </c>
      <c r="F26" s="92">
        <v>0.0</v>
      </c>
      <c r="G26" s="92">
        <v>0.0</v>
      </c>
      <c r="H26" s="92">
        <v>0.0</v>
      </c>
      <c r="I26" s="92">
        <v>0.0</v>
      </c>
      <c r="J26" s="92">
        <v>0.0</v>
      </c>
      <c r="K26" s="92">
        <v>0.0</v>
      </c>
      <c r="L26" s="92">
        <f>100+1200</f>
        <v>1300</v>
      </c>
      <c r="M26" s="73">
        <f t="shared" si="4"/>
        <v>1534</v>
      </c>
      <c r="N26" s="34"/>
      <c r="O26" s="34"/>
    </row>
    <row r="27">
      <c r="A27" s="70">
        <v>26.0</v>
      </c>
      <c r="B27" s="71">
        <v>45714.0</v>
      </c>
      <c r="C27" s="92">
        <f>76.5+74.93</f>
        <v>151.43</v>
      </c>
      <c r="D27" s="92">
        <v>0.0</v>
      </c>
      <c r="E27" s="92">
        <v>0.0</v>
      </c>
      <c r="F27" s="92">
        <v>0.0</v>
      </c>
      <c r="G27" s="92">
        <v>0.0</v>
      </c>
      <c r="H27" s="92">
        <v>0.0</v>
      </c>
      <c r="I27" s="92">
        <v>0.0</v>
      </c>
      <c r="J27" s="92">
        <v>0.0</v>
      </c>
      <c r="K27" s="92">
        <v>0.0</v>
      </c>
      <c r="L27" s="92">
        <v>0.0</v>
      </c>
      <c r="M27" s="73">
        <f t="shared" si="4"/>
        <v>151.43</v>
      </c>
      <c r="N27" s="34"/>
      <c r="O27" s="34"/>
    </row>
    <row r="28">
      <c r="A28" s="70">
        <v>27.0</v>
      </c>
      <c r="B28" s="71">
        <v>45715.0</v>
      </c>
      <c r="C28" s="92">
        <v>0.0</v>
      </c>
      <c r="D28" s="92">
        <v>0.0</v>
      </c>
      <c r="E28" s="92">
        <v>0.0</v>
      </c>
      <c r="F28" s="92">
        <v>0.0</v>
      </c>
      <c r="G28" s="92">
        <v>0.0</v>
      </c>
      <c r="H28" s="92">
        <v>0.0</v>
      </c>
      <c r="I28" s="92">
        <v>0.0</v>
      </c>
      <c r="J28" s="92">
        <v>0.0</v>
      </c>
      <c r="K28" s="92">
        <v>0.0</v>
      </c>
      <c r="L28" s="92">
        <v>0.0</v>
      </c>
      <c r="M28" s="73">
        <f t="shared" si="4"/>
        <v>0</v>
      </c>
      <c r="N28" s="34"/>
      <c r="O28" s="34"/>
    </row>
    <row r="29">
      <c r="A29" s="70">
        <v>28.0</v>
      </c>
      <c r="B29" s="71">
        <v>45716.0</v>
      </c>
      <c r="C29" s="92">
        <f>262.45</f>
        <v>262.45</v>
      </c>
      <c r="D29" s="92">
        <v>0.0</v>
      </c>
      <c r="E29" s="92">
        <v>0.0</v>
      </c>
      <c r="F29" s="92">
        <v>0.0</v>
      </c>
      <c r="G29" s="92">
        <v>0.0</v>
      </c>
      <c r="H29" s="92">
        <v>0.0</v>
      </c>
      <c r="I29" s="92">
        <v>0.0</v>
      </c>
      <c r="J29" s="92">
        <v>0.0</v>
      </c>
      <c r="K29" s="92">
        <v>0.0</v>
      </c>
      <c r="L29" s="92">
        <v>0.0</v>
      </c>
      <c r="M29" s="73">
        <f t="shared" si="4"/>
        <v>262.45</v>
      </c>
      <c r="N29" s="34"/>
      <c r="O29" s="34"/>
    </row>
    <row r="30">
      <c r="A30" s="34"/>
      <c r="B30" s="3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93"/>
      <c r="N30" s="34"/>
      <c r="O30" s="34"/>
    </row>
    <row r="31">
      <c r="A31" s="34"/>
      <c r="B31" s="3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93"/>
      <c r="N31" s="34"/>
      <c r="O31" s="34"/>
    </row>
    <row r="32">
      <c r="B32" s="94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93"/>
    </row>
  </sheetData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/>
      <c r="B1" s="65" t="s">
        <v>60</v>
      </c>
      <c r="C1" s="66" t="s">
        <v>34</v>
      </c>
      <c r="D1" s="67" t="s">
        <v>35</v>
      </c>
      <c r="E1" s="68" t="s">
        <v>61</v>
      </c>
      <c r="F1" s="68" t="s">
        <v>62</v>
      </c>
      <c r="G1" s="68" t="s">
        <v>40</v>
      </c>
      <c r="H1" s="68" t="s">
        <v>36</v>
      </c>
      <c r="I1" s="68" t="s">
        <v>63</v>
      </c>
      <c r="J1" s="68" t="s">
        <v>64</v>
      </c>
      <c r="K1" s="68" t="s">
        <v>65</v>
      </c>
      <c r="L1" s="68" t="s">
        <v>66</v>
      </c>
      <c r="M1" s="69" t="s">
        <v>67</v>
      </c>
      <c r="N1" s="34"/>
      <c r="O1" s="34"/>
    </row>
    <row r="2">
      <c r="A2" s="70">
        <v>1.0</v>
      </c>
      <c r="B2" s="71">
        <v>45717.0</v>
      </c>
      <c r="C2" s="92">
        <v>0.0</v>
      </c>
      <c r="D2" s="92">
        <v>0.0</v>
      </c>
      <c r="E2" s="92">
        <v>0.0</v>
      </c>
      <c r="F2" s="92">
        <f>250</f>
        <v>250</v>
      </c>
      <c r="G2" s="92">
        <v>0.0</v>
      </c>
      <c r="H2" s="92">
        <v>0.0</v>
      </c>
      <c r="I2" s="92">
        <v>0.0</v>
      </c>
      <c r="J2" s="92">
        <v>0.0</v>
      </c>
      <c r="K2" s="92">
        <v>0.0</v>
      </c>
      <c r="L2" s="92">
        <v>0.0</v>
      </c>
      <c r="M2" s="73">
        <f>SUMIF(C2:L2,"&lt;&gt;")</f>
        <v>250</v>
      </c>
      <c r="N2" s="74" t="s">
        <v>68</v>
      </c>
      <c r="O2" s="75">
        <f>+SUM(C2:C32,D2:D29)/ COUNTIFS(C2:C29, "&lt;&gt;", D2:D29, "&lt;&gt;")</f>
        <v>290.6978571</v>
      </c>
    </row>
    <row r="3">
      <c r="A3" s="70">
        <v>2.0</v>
      </c>
      <c r="B3" s="71">
        <v>45718.0</v>
      </c>
      <c r="C3" s="92">
        <f>23+35+45.48+82+239.72</f>
        <v>425.2</v>
      </c>
      <c r="D3" s="92">
        <v>0.0</v>
      </c>
      <c r="E3" s="92">
        <v>0.0</v>
      </c>
      <c r="F3" s="92">
        <v>0.0</v>
      </c>
      <c r="G3" s="92">
        <v>0.0</v>
      </c>
      <c r="H3" s="92">
        <v>0.0</v>
      </c>
      <c r="I3" s="92">
        <f>26.03</f>
        <v>26.03</v>
      </c>
      <c r="J3" s="92">
        <v>0.0</v>
      </c>
      <c r="K3" s="92">
        <v>0.0</v>
      </c>
      <c r="L3" s="92">
        <v>0.0</v>
      </c>
      <c r="M3" s="73">
        <f>SUMIF(C3:K3,"&lt;&gt;")</f>
        <v>451.23</v>
      </c>
      <c r="N3" s="76" t="s">
        <v>69</v>
      </c>
      <c r="O3" s="77">
        <f>+O13 / COUNTIF(C2:C32, "&lt;&gt;")</f>
        <v>2095.414194</v>
      </c>
    </row>
    <row r="4">
      <c r="A4" s="70">
        <v>3.0</v>
      </c>
      <c r="B4" s="71">
        <v>45719.0</v>
      </c>
      <c r="C4" s="92">
        <f>173.65+281.7</f>
        <v>455.35</v>
      </c>
      <c r="D4" s="92">
        <v>0.0</v>
      </c>
      <c r="E4" s="92">
        <v>0.0</v>
      </c>
      <c r="F4" s="92">
        <v>0.0</v>
      </c>
      <c r="G4" s="92">
        <v>0.0</v>
      </c>
      <c r="H4" s="92">
        <f>470</f>
        <v>470</v>
      </c>
      <c r="I4" s="92">
        <f>19.57</f>
        <v>19.57</v>
      </c>
      <c r="J4" s="92">
        <v>0.0</v>
      </c>
      <c r="K4" s="92">
        <v>0.0</v>
      </c>
      <c r="L4" s="92">
        <f>170</f>
        <v>170</v>
      </c>
      <c r="M4" s="73">
        <f t="shared" ref="M4:M6" si="1">SUMIF(C4:L4,"&lt;&gt;")</f>
        <v>1114.92</v>
      </c>
      <c r="N4" s="74" t="s">
        <v>70</v>
      </c>
      <c r="O4" s="78">
        <f>+SUM(C2:C32)</f>
        <v>7042.54</v>
      </c>
    </row>
    <row r="5">
      <c r="A5" s="70">
        <v>4.0</v>
      </c>
      <c r="B5" s="71">
        <v>45720.0</v>
      </c>
      <c r="C5" s="92">
        <v>0.0</v>
      </c>
      <c r="D5" s="92">
        <v>0.0</v>
      </c>
      <c r="E5" s="92">
        <f>780</f>
        <v>780</v>
      </c>
      <c r="F5" s="92">
        <v>0.0</v>
      </c>
      <c r="G5" s="92">
        <v>0.0</v>
      </c>
      <c r="H5" s="92">
        <v>0.0</v>
      </c>
      <c r="I5" s="92">
        <v>0.0</v>
      </c>
      <c r="J5" s="92">
        <v>0.0</v>
      </c>
      <c r="K5" s="92">
        <v>0.0</v>
      </c>
      <c r="L5" s="92">
        <f>265</f>
        <v>265</v>
      </c>
      <c r="M5" s="73">
        <f t="shared" si="1"/>
        <v>1045</v>
      </c>
      <c r="N5" s="79" t="s">
        <v>71</v>
      </c>
      <c r="O5" s="80">
        <f>+SUM(D2:D32)</f>
        <v>1382</v>
      </c>
    </row>
    <row r="6">
      <c r="A6" s="70">
        <v>5.0</v>
      </c>
      <c r="B6" s="71">
        <v>45721.0</v>
      </c>
      <c r="C6" s="92">
        <f>617.25</f>
        <v>617.25</v>
      </c>
      <c r="D6" s="92">
        <v>0.0</v>
      </c>
      <c r="E6" s="92">
        <v>0.0</v>
      </c>
      <c r="F6" s="92">
        <v>0.0</v>
      </c>
      <c r="G6" s="92">
        <v>0.0</v>
      </c>
      <c r="H6" s="92">
        <v>0.0</v>
      </c>
      <c r="I6" s="92">
        <f>39</f>
        <v>39</v>
      </c>
      <c r="J6" s="92">
        <v>0.0</v>
      </c>
      <c r="K6" s="92">
        <v>0.0</v>
      </c>
      <c r="L6" s="92">
        <v>0.0</v>
      </c>
      <c r="M6" s="73">
        <f t="shared" si="1"/>
        <v>656.25</v>
      </c>
      <c r="N6" s="79" t="s">
        <v>72</v>
      </c>
      <c r="O6" s="81">
        <f>SUM(J2:J32)</f>
        <v>0</v>
      </c>
    </row>
    <row r="7">
      <c r="A7" s="70">
        <v>6.0</v>
      </c>
      <c r="B7" s="71">
        <v>45722.0</v>
      </c>
      <c r="C7" s="92">
        <f>50+55</f>
        <v>105</v>
      </c>
      <c r="D7" s="92">
        <v>0.0</v>
      </c>
      <c r="E7" s="92">
        <v>0.0</v>
      </c>
      <c r="F7" s="92">
        <v>0.0</v>
      </c>
      <c r="G7" s="92">
        <v>0.0</v>
      </c>
      <c r="H7" s="92">
        <v>0.0</v>
      </c>
      <c r="I7" s="92">
        <v>0.0</v>
      </c>
      <c r="J7" s="92">
        <v>0.0</v>
      </c>
      <c r="K7" s="92">
        <v>0.0</v>
      </c>
      <c r="L7" s="92">
        <v>0.0</v>
      </c>
      <c r="M7" s="73">
        <f t="shared" ref="M7:M8" si="2">SUMIF(C7:K7,"&lt;&gt;")</f>
        <v>105</v>
      </c>
      <c r="N7" s="79" t="s">
        <v>73</v>
      </c>
      <c r="O7" s="82">
        <f>SUM(K2:K32)</f>
        <v>0</v>
      </c>
    </row>
    <row r="8">
      <c r="A8" s="70">
        <v>7.0</v>
      </c>
      <c r="B8" s="71">
        <v>45723.0</v>
      </c>
      <c r="C8" s="92">
        <v>0.0</v>
      </c>
      <c r="D8" s="92">
        <f>234</f>
        <v>234</v>
      </c>
      <c r="E8" s="92">
        <v>0.0</v>
      </c>
      <c r="F8" s="92">
        <v>0.0</v>
      </c>
      <c r="G8" s="92">
        <v>0.0</v>
      </c>
      <c r="H8" s="92">
        <v>0.0</v>
      </c>
      <c r="I8" s="92">
        <v>0.0</v>
      </c>
      <c r="J8" s="92">
        <v>0.0</v>
      </c>
      <c r="K8" s="92">
        <v>0.0</v>
      </c>
      <c r="L8" s="92">
        <v>0.0</v>
      </c>
      <c r="M8" s="73">
        <f t="shared" si="2"/>
        <v>234</v>
      </c>
      <c r="N8" s="83" t="s">
        <v>74</v>
      </c>
      <c r="O8" s="84">
        <f>+SUM(E2:E32)</f>
        <v>3623.57</v>
      </c>
    </row>
    <row r="9">
      <c r="A9" s="70">
        <v>8.0</v>
      </c>
      <c r="B9" s="71">
        <v>45724.0</v>
      </c>
      <c r="C9" s="92">
        <f>50+176.25+279.11</f>
        <v>505.36</v>
      </c>
      <c r="D9" s="92">
        <v>0.0</v>
      </c>
      <c r="E9" s="92">
        <v>0.0</v>
      </c>
      <c r="F9" s="92">
        <v>0.0</v>
      </c>
      <c r="G9" s="92">
        <v>0.0</v>
      </c>
      <c r="H9" s="92">
        <v>0.0</v>
      </c>
      <c r="I9" s="92">
        <v>0.0</v>
      </c>
      <c r="J9" s="92">
        <v>0.0</v>
      </c>
      <c r="K9" s="92">
        <v>0.0</v>
      </c>
      <c r="L9" s="92">
        <v>0.0</v>
      </c>
      <c r="M9" s="73">
        <f t="shared" ref="M9:M20" si="3">SUMIF(C9:L9,"&lt;&gt;")</f>
        <v>505.36</v>
      </c>
      <c r="N9" s="85" t="s">
        <v>75</v>
      </c>
      <c r="O9" s="86">
        <f>Sum(H2:H32)</f>
        <v>12484.7</v>
      </c>
    </row>
    <row r="10">
      <c r="A10" s="70">
        <v>9.0</v>
      </c>
      <c r="B10" s="71">
        <v>45725.0</v>
      </c>
      <c r="C10" s="92">
        <f>165</f>
        <v>165</v>
      </c>
      <c r="D10" s="92">
        <v>0.0</v>
      </c>
      <c r="E10" s="92">
        <v>0.0</v>
      </c>
      <c r="F10" s="92">
        <v>0.0</v>
      </c>
      <c r="G10" s="92">
        <f>674.1+80.7+303.51+210</f>
        <v>1268.31</v>
      </c>
      <c r="H10" s="92">
        <v>0.0</v>
      </c>
      <c r="I10" s="92">
        <v>0.0</v>
      </c>
      <c r="J10" s="92">
        <v>0.0</v>
      </c>
      <c r="K10" s="92">
        <v>0.0</v>
      </c>
      <c r="L10" s="92">
        <v>0.0</v>
      </c>
      <c r="M10" s="73">
        <f t="shared" si="3"/>
        <v>1433.31</v>
      </c>
      <c r="N10" s="85" t="s">
        <v>76</v>
      </c>
      <c r="O10" s="87">
        <f>SUM(I2:I32)</f>
        <v>84.6</v>
      </c>
    </row>
    <row r="11">
      <c r="A11" s="70">
        <v>10.0</v>
      </c>
      <c r="B11" s="71">
        <v>45726.0</v>
      </c>
      <c r="C11" s="92">
        <v>0.0</v>
      </c>
      <c r="D11" s="92">
        <v>0.0</v>
      </c>
      <c r="E11" s="92">
        <v>0.0</v>
      </c>
      <c r="F11" s="92">
        <v>0.0</v>
      </c>
      <c r="G11" s="92">
        <v>0.0</v>
      </c>
      <c r="H11" s="92">
        <v>0.0</v>
      </c>
      <c r="I11" s="92">
        <v>0.0</v>
      </c>
      <c r="J11" s="92">
        <v>0.0</v>
      </c>
      <c r="K11" s="92">
        <v>0.0</v>
      </c>
      <c r="L11" s="92">
        <v>0.0</v>
      </c>
      <c r="M11" s="73">
        <f t="shared" si="3"/>
        <v>0</v>
      </c>
      <c r="N11" s="85" t="s">
        <v>77</v>
      </c>
      <c r="O11" s="88">
        <f>+SUM(L2:L32)</f>
        <v>23778.55</v>
      </c>
    </row>
    <row r="12">
      <c r="A12" s="70">
        <v>11.0</v>
      </c>
      <c r="B12" s="71">
        <v>45727.0</v>
      </c>
      <c r="C12" s="92">
        <f>25+54.9</f>
        <v>79.9</v>
      </c>
      <c r="D12" s="92">
        <f>150</f>
        <v>150</v>
      </c>
      <c r="E12" s="92">
        <v>0.0</v>
      </c>
      <c r="F12" s="92">
        <v>0.0</v>
      </c>
      <c r="G12" s="92">
        <v>0.0</v>
      </c>
      <c r="H12" s="92">
        <f>3625.88</f>
        <v>3625.88</v>
      </c>
      <c r="I12" s="92">
        <v>0.0</v>
      </c>
      <c r="J12" s="92">
        <v>0.0</v>
      </c>
      <c r="K12" s="92">
        <v>0.0</v>
      </c>
      <c r="L12" s="92">
        <f>690</f>
        <v>690</v>
      </c>
      <c r="M12" s="73">
        <f t="shared" si="3"/>
        <v>4545.78</v>
      </c>
      <c r="N12" s="85" t="s">
        <v>40</v>
      </c>
      <c r="O12" s="89">
        <f>sum(G2:G32)</f>
        <v>1311.88</v>
      </c>
    </row>
    <row r="13">
      <c r="A13" s="70">
        <v>12.0</v>
      </c>
      <c r="B13" s="71">
        <v>45728.0</v>
      </c>
      <c r="C13" s="92">
        <v>0.0</v>
      </c>
      <c r="D13" s="92">
        <v>0.0</v>
      </c>
      <c r="E13" s="92">
        <v>0.0</v>
      </c>
      <c r="F13" s="92">
        <v>0.0</v>
      </c>
      <c r="G13" s="92">
        <f>43.57</f>
        <v>43.57</v>
      </c>
      <c r="H13" s="92">
        <f>5666.5</f>
        <v>5666.5</v>
      </c>
      <c r="I13" s="92">
        <v>0.0</v>
      </c>
      <c r="J13" s="92">
        <v>0.0</v>
      </c>
      <c r="K13" s="92">
        <v>0.0</v>
      </c>
      <c r="L13" s="92">
        <v>0.0</v>
      </c>
      <c r="M13" s="73">
        <f t="shared" si="3"/>
        <v>5710.07</v>
      </c>
      <c r="N13" s="76" t="s">
        <v>45</v>
      </c>
      <c r="O13" s="90">
        <f>+SUM(C2:L32)</f>
        <v>64957.84</v>
      </c>
    </row>
    <row r="14">
      <c r="A14" s="70">
        <v>13.0</v>
      </c>
      <c r="B14" s="71">
        <v>45729.0</v>
      </c>
      <c r="C14" s="92">
        <f>40</f>
        <v>40</v>
      </c>
      <c r="D14" s="92">
        <v>0.0</v>
      </c>
      <c r="E14" s="92">
        <v>0.0</v>
      </c>
      <c r="F14" s="92">
        <v>0.0</v>
      </c>
      <c r="G14" s="92">
        <v>0.0</v>
      </c>
      <c r="H14" s="92">
        <v>0.0</v>
      </c>
      <c r="I14" s="92">
        <v>0.0</v>
      </c>
      <c r="J14" s="92">
        <v>0.0</v>
      </c>
      <c r="K14" s="92">
        <v>0.0</v>
      </c>
      <c r="L14" s="92">
        <v>0.0</v>
      </c>
      <c r="M14" s="73">
        <f t="shared" si="3"/>
        <v>40</v>
      </c>
      <c r="N14" s="34"/>
      <c r="O14" s="28"/>
    </row>
    <row r="15">
      <c r="A15" s="70">
        <v>14.0</v>
      </c>
      <c r="B15" s="71">
        <v>45730.0</v>
      </c>
      <c r="C15" s="92">
        <v>0.0</v>
      </c>
      <c r="D15" s="92">
        <v>0.0</v>
      </c>
      <c r="E15" s="92">
        <v>0.0</v>
      </c>
      <c r="F15" s="92">
        <v>0.0</v>
      </c>
      <c r="G15" s="92">
        <v>0.0</v>
      </c>
      <c r="H15" s="92">
        <v>0.0</v>
      </c>
      <c r="I15" s="92">
        <v>0.0</v>
      </c>
      <c r="J15" s="92">
        <v>0.0</v>
      </c>
      <c r="K15" s="92">
        <v>0.0</v>
      </c>
      <c r="L15" s="92">
        <v>0.0</v>
      </c>
      <c r="M15" s="73">
        <f t="shared" si="3"/>
        <v>0</v>
      </c>
      <c r="N15" s="34"/>
      <c r="O15" s="34"/>
    </row>
    <row r="16">
      <c r="A16" s="70">
        <v>15.0</v>
      </c>
      <c r="B16" s="71">
        <v>45731.0</v>
      </c>
      <c r="C16" s="92">
        <f>187+105</f>
        <v>292</v>
      </c>
      <c r="D16" s="92">
        <v>0.0</v>
      </c>
      <c r="E16" s="92">
        <v>0.0</v>
      </c>
      <c r="F16" s="92">
        <f>15000</f>
        <v>15000</v>
      </c>
      <c r="G16" s="92">
        <v>0.0</v>
      </c>
      <c r="H16" s="92">
        <v>0.0</v>
      </c>
      <c r="I16" s="92">
        <v>0.0</v>
      </c>
      <c r="J16" s="92">
        <v>0.0</v>
      </c>
      <c r="K16" s="92">
        <v>0.0</v>
      </c>
      <c r="L16" s="92">
        <f>300</f>
        <v>300</v>
      </c>
      <c r="M16" s="73">
        <f t="shared" si="3"/>
        <v>15592</v>
      </c>
      <c r="N16" s="34"/>
      <c r="O16" s="34"/>
    </row>
    <row r="17">
      <c r="A17" s="70">
        <v>16.0</v>
      </c>
      <c r="B17" s="71">
        <v>45732.0</v>
      </c>
      <c r="C17" s="92">
        <f>62+52.5+308.4+231.5</f>
        <v>654.4</v>
      </c>
      <c r="D17" s="92">
        <v>0.0</v>
      </c>
      <c r="E17" s="92">
        <v>0.0</v>
      </c>
      <c r="F17" s="92">
        <v>0.0</v>
      </c>
      <c r="G17" s="92">
        <v>0.0</v>
      </c>
      <c r="H17" s="92">
        <f>366</f>
        <v>366</v>
      </c>
      <c r="I17" s="92">
        <v>0.0</v>
      </c>
      <c r="J17" s="92">
        <v>0.0</v>
      </c>
      <c r="K17" s="92">
        <v>0.0</v>
      </c>
      <c r="L17" s="92">
        <f>115+89+279.9+758.65</f>
        <v>1242.55</v>
      </c>
      <c r="M17" s="73">
        <f t="shared" si="3"/>
        <v>2262.95</v>
      </c>
      <c r="N17" s="34"/>
      <c r="O17" s="34"/>
    </row>
    <row r="18">
      <c r="A18" s="70">
        <v>17.0</v>
      </c>
      <c r="B18" s="71">
        <v>45733.0</v>
      </c>
      <c r="C18" s="92">
        <f>201</f>
        <v>201</v>
      </c>
      <c r="D18" s="92">
        <v>0.0</v>
      </c>
      <c r="E18" s="92">
        <v>0.0</v>
      </c>
      <c r="F18" s="92">
        <v>0.0</v>
      </c>
      <c r="G18" s="92">
        <v>0.0</v>
      </c>
      <c r="H18" s="92">
        <f>177.5+537</f>
        <v>714.5</v>
      </c>
      <c r="I18" s="92">
        <v>0.0</v>
      </c>
      <c r="J18" s="92">
        <v>0.0</v>
      </c>
      <c r="K18" s="92">
        <v>0.0</v>
      </c>
      <c r="L18" s="92">
        <v>0.0</v>
      </c>
      <c r="M18" s="73">
        <f t="shared" si="3"/>
        <v>915.5</v>
      </c>
      <c r="N18" s="34"/>
      <c r="O18" s="34"/>
    </row>
    <row r="19">
      <c r="A19" s="70">
        <v>18.0</v>
      </c>
      <c r="B19" s="71">
        <v>45734.0</v>
      </c>
      <c r="C19" s="92">
        <f>467.36</f>
        <v>467.36</v>
      </c>
      <c r="D19" s="92">
        <v>0.0</v>
      </c>
      <c r="E19" s="92">
        <v>0.0</v>
      </c>
      <c r="F19" s="92">
        <v>0.0</v>
      </c>
      <c r="G19" s="92">
        <v>0.0</v>
      </c>
      <c r="H19" s="92">
        <v>0.0</v>
      </c>
      <c r="I19" s="92">
        <v>0.0</v>
      </c>
      <c r="J19" s="92">
        <v>0.0</v>
      </c>
      <c r="K19" s="92">
        <v>0.0</v>
      </c>
      <c r="L19" s="92">
        <v>0.0</v>
      </c>
      <c r="M19" s="73">
        <f t="shared" si="3"/>
        <v>467.36</v>
      </c>
      <c r="N19" s="34"/>
      <c r="O19" s="34"/>
    </row>
    <row r="20">
      <c r="A20" s="70">
        <v>19.0</v>
      </c>
      <c r="B20" s="71">
        <v>45735.0</v>
      </c>
      <c r="C20" s="92">
        <f>213.95+275.69</f>
        <v>489.64</v>
      </c>
      <c r="D20" s="92">
        <v>0.0</v>
      </c>
      <c r="E20" s="92">
        <f>700</f>
        <v>700</v>
      </c>
      <c r="F20" s="92">
        <v>0.0</v>
      </c>
      <c r="G20" s="92">
        <v>0.0</v>
      </c>
      <c r="H20" s="92">
        <f>306+1335.82</f>
        <v>1641.82</v>
      </c>
      <c r="I20" s="92">
        <v>0.0</v>
      </c>
      <c r="J20" s="92">
        <v>0.0</v>
      </c>
      <c r="K20" s="92">
        <v>0.0</v>
      </c>
      <c r="L20" s="92">
        <f>299+10800</f>
        <v>11099</v>
      </c>
      <c r="M20" s="73">
        <f t="shared" si="3"/>
        <v>13930.46</v>
      </c>
      <c r="N20" s="34"/>
      <c r="O20" s="34"/>
    </row>
    <row r="21">
      <c r="A21" s="70">
        <v>20.0</v>
      </c>
      <c r="B21" s="71">
        <v>45736.0</v>
      </c>
      <c r="C21" s="92">
        <f>300.09</f>
        <v>300.09</v>
      </c>
      <c r="D21" s="92">
        <f>234</f>
        <v>234</v>
      </c>
      <c r="E21" s="92">
        <v>0.0</v>
      </c>
      <c r="F21" s="92">
        <v>0.0</v>
      </c>
      <c r="G21" s="92">
        <v>0.0</v>
      </c>
      <c r="H21" s="92">
        <v>0.0</v>
      </c>
      <c r="I21" s="92">
        <v>0.0</v>
      </c>
      <c r="J21" s="92">
        <v>0.0</v>
      </c>
      <c r="K21" s="92">
        <v>0.0</v>
      </c>
      <c r="L21" s="92">
        <v>0.0</v>
      </c>
      <c r="M21" s="73">
        <f>SUMIF(D21:L21,"&lt;&gt;")</f>
        <v>234</v>
      </c>
      <c r="N21" s="34"/>
      <c r="O21" s="34"/>
    </row>
    <row r="22">
      <c r="A22" s="70">
        <v>21.0</v>
      </c>
      <c r="B22" s="71">
        <v>45737.0</v>
      </c>
      <c r="C22" s="92">
        <f>552.45</f>
        <v>552.45</v>
      </c>
      <c r="D22" s="92">
        <v>0.0</v>
      </c>
      <c r="E22" s="92">
        <v>0.0</v>
      </c>
      <c r="F22" s="92">
        <v>0.0</v>
      </c>
      <c r="G22" s="92">
        <v>0.0</v>
      </c>
      <c r="H22" s="92">
        <v>0.0</v>
      </c>
      <c r="I22" s="92">
        <v>0.0</v>
      </c>
      <c r="J22" s="92">
        <v>0.0</v>
      </c>
      <c r="K22" s="92">
        <v>0.0</v>
      </c>
      <c r="L22" s="92">
        <f>170</f>
        <v>170</v>
      </c>
      <c r="M22" s="73">
        <f t="shared" ref="M22:M32" si="4">SUMIF(C22:L22,"&lt;&gt;")</f>
        <v>722.45</v>
      </c>
      <c r="N22" s="34"/>
      <c r="O22" s="34"/>
    </row>
    <row r="23">
      <c r="A23" s="70">
        <v>22.0</v>
      </c>
      <c r="B23" s="71">
        <v>45738.0</v>
      </c>
      <c r="C23" s="92">
        <f>150</f>
        <v>150</v>
      </c>
      <c r="D23" s="92">
        <f>234</f>
        <v>234</v>
      </c>
      <c r="E23" s="92">
        <v>0.0</v>
      </c>
      <c r="F23" s="92">
        <v>0.0</v>
      </c>
      <c r="G23" s="92">
        <v>0.0</v>
      </c>
      <c r="H23" s="92">
        <v>0.0</v>
      </c>
      <c r="I23" s="92">
        <v>0.0</v>
      </c>
      <c r="J23" s="92">
        <v>0.0</v>
      </c>
      <c r="K23" s="92">
        <v>0.0</v>
      </c>
      <c r="L23" s="92">
        <f>50</f>
        <v>50</v>
      </c>
      <c r="M23" s="73">
        <f t="shared" si="4"/>
        <v>434</v>
      </c>
      <c r="N23" s="34"/>
      <c r="O23" s="34"/>
    </row>
    <row r="24">
      <c r="A24" s="70">
        <v>23.0</v>
      </c>
      <c r="B24" s="71">
        <v>45739.0</v>
      </c>
      <c r="C24" s="92">
        <f>1173.14+119.9</f>
        <v>1293.04</v>
      </c>
      <c r="D24" s="92">
        <v>0.0</v>
      </c>
      <c r="E24" s="92">
        <v>0.0</v>
      </c>
      <c r="F24" s="92">
        <v>0.0</v>
      </c>
      <c r="G24" s="92">
        <v>0.0</v>
      </c>
      <c r="H24" s="92">
        <v>0.0</v>
      </c>
      <c r="I24" s="92">
        <v>0.0</v>
      </c>
      <c r="J24" s="92">
        <v>0.0</v>
      </c>
      <c r="K24" s="92">
        <v>0.0</v>
      </c>
      <c r="L24" s="92">
        <v>0.0</v>
      </c>
      <c r="M24" s="73">
        <f t="shared" si="4"/>
        <v>1293.04</v>
      </c>
      <c r="N24" s="34"/>
      <c r="O24" s="34"/>
    </row>
    <row r="25">
      <c r="A25" s="70">
        <v>24.0</v>
      </c>
      <c r="B25" s="71">
        <v>45740.0</v>
      </c>
      <c r="C25" s="92">
        <f>88.5+161</f>
        <v>249.5</v>
      </c>
      <c r="D25" s="92">
        <v>0.0</v>
      </c>
      <c r="E25" s="92">
        <v>0.0</v>
      </c>
      <c r="F25" s="92">
        <v>0.0</v>
      </c>
      <c r="G25" s="92">
        <v>0.0</v>
      </c>
      <c r="H25" s="92">
        <v>0.0</v>
      </c>
      <c r="I25" s="92">
        <v>0.0</v>
      </c>
      <c r="J25" s="92">
        <v>0.0</v>
      </c>
      <c r="K25" s="92">
        <v>0.0</v>
      </c>
      <c r="L25" s="92">
        <f>9792</f>
        <v>9792</v>
      </c>
      <c r="M25" s="73">
        <f t="shared" si="4"/>
        <v>10041.5</v>
      </c>
      <c r="N25" s="34"/>
      <c r="O25" s="34"/>
    </row>
    <row r="26">
      <c r="A26" s="70">
        <v>25.0</v>
      </c>
      <c r="B26" s="71">
        <v>45741.0</v>
      </c>
      <c r="C26" s="92">
        <v>0.0</v>
      </c>
      <c r="D26" s="92">
        <v>0.0</v>
      </c>
      <c r="E26" s="92">
        <v>0.0</v>
      </c>
      <c r="F26" s="92">
        <v>0.0</v>
      </c>
      <c r="G26" s="92">
        <v>0.0</v>
      </c>
      <c r="H26" s="92">
        <v>0.0</v>
      </c>
      <c r="I26" s="92">
        <v>0.0</v>
      </c>
      <c r="J26" s="92">
        <v>0.0</v>
      </c>
      <c r="K26" s="92">
        <v>0.0</v>
      </c>
      <c r="L26" s="92">
        <v>0.0</v>
      </c>
      <c r="M26" s="73">
        <f t="shared" si="4"/>
        <v>0</v>
      </c>
      <c r="N26" s="34"/>
      <c r="O26" s="34"/>
    </row>
    <row r="27">
      <c r="A27" s="70">
        <v>26.0</v>
      </c>
      <c r="B27" s="71">
        <v>45742.0</v>
      </c>
      <c r="C27" s="92">
        <v>0.0</v>
      </c>
      <c r="D27" s="92">
        <f>75</f>
        <v>75</v>
      </c>
      <c r="E27" s="92">
        <f>780+635</f>
        <v>1415</v>
      </c>
      <c r="F27" s="92">
        <v>0.0</v>
      </c>
      <c r="G27" s="92">
        <v>0.0</v>
      </c>
      <c r="H27" s="92">
        <v>0.0</v>
      </c>
      <c r="I27" s="92">
        <v>0.0</v>
      </c>
      <c r="J27" s="92">
        <v>0.0</v>
      </c>
      <c r="K27" s="92">
        <v>0.0</v>
      </c>
      <c r="L27" s="92">
        <v>0.0</v>
      </c>
      <c r="M27" s="73">
        <f t="shared" si="4"/>
        <v>1490</v>
      </c>
      <c r="N27" s="34"/>
      <c r="O27" s="34"/>
    </row>
    <row r="28">
      <c r="A28" s="70">
        <v>27.0</v>
      </c>
      <c r="B28" s="71">
        <v>45743.0</v>
      </c>
      <c r="C28" s="92">
        <v>0.0</v>
      </c>
      <c r="D28" s="92">
        <v>0.0</v>
      </c>
      <c r="E28" s="92">
        <v>0.0</v>
      </c>
      <c r="F28" s="92">
        <v>0.0</v>
      </c>
      <c r="G28" s="92">
        <v>0.0</v>
      </c>
      <c r="H28" s="92">
        <v>0.0</v>
      </c>
      <c r="I28" s="92">
        <v>0.0</v>
      </c>
      <c r="J28" s="92">
        <v>0.0</v>
      </c>
      <c r="K28" s="92">
        <v>0.0</v>
      </c>
      <c r="L28" s="92">
        <v>0.0</v>
      </c>
      <c r="M28" s="73">
        <f t="shared" si="4"/>
        <v>0</v>
      </c>
      <c r="N28" s="34"/>
      <c r="O28" s="34"/>
    </row>
    <row r="29">
      <c r="A29" s="70">
        <v>28.0</v>
      </c>
      <c r="B29" s="71">
        <v>45744.0</v>
      </c>
      <c r="C29" s="92">
        <v>0.0</v>
      </c>
      <c r="D29" s="92">
        <f>170</f>
        <v>170</v>
      </c>
      <c r="E29" s="92">
        <v>0.0</v>
      </c>
      <c r="F29" s="92">
        <v>0.0</v>
      </c>
      <c r="G29" s="92">
        <v>0.0</v>
      </c>
      <c r="H29" s="92">
        <v>0.0</v>
      </c>
      <c r="I29" s="92">
        <v>0.0</v>
      </c>
      <c r="J29" s="92">
        <v>0.0</v>
      </c>
      <c r="K29" s="92">
        <v>0.0</v>
      </c>
      <c r="L29" s="92">
        <v>0.0</v>
      </c>
      <c r="M29" s="73">
        <f t="shared" si="4"/>
        <v>170</v>
      </c>
      <c r="N29" s="34"/>
      <c r="O29" s="34"/>
    </row>
    <row r="30">
      <c r="A30" s="2">
        <v>29.0</v>
      </c>
      <c r="B30" s="91">
        <v>45745.0</v>
      </c>
      <c r="C30" s="92">
        <v>0.0</v>
      </c>
      <c r="D30" s="92">
        <f>60</f>
        <v>60</v>
      </c>
      <c r="E30" s="92">
        <f>30.57</f>
        <v>30.57</v>
      </c>
      <c r="F30" s="92">
        <v>0.0</v>
      </c>
      <c r="G30" s="92">
        <v>0.0</v>
      </c>
      <c r="H30" s="92">
        <v>0.0</v>
      </c>
      <c r="I30" s="92">
        <v>0.0</v>
      </c>
      <c r="J30" s="92">
        <v>0.0</v>
      </c>
      <c r="K30" s="92">
        <v>0.0</v>
      </c>
      <c r="L30" s="92">
        <v>0.0</v>
      </c>
      <c r="M30" s="73">
        <f t="shared" si="4"/>
        <v>90.57</v>
      </c>
    </row>
    <row r="31">
      <c r="A31" s="2">
        <v>30.0</v>
      </c>
      <c r="B31" s="91">
        <v>45746.0</v>
      </c>
      <c r="C31" s="95">
        <v>0.0</v>
      </c>
      <c r="D31" s="95">
        <v>0.0</v>
      </c>
      <c r="E31" s="95">
        <f>698</f>
        <v>698</v>
      </c>
      <c r="F31" s="95">
        <v>0.0</v>
      </c>
      <c r="G31" s="95">
        <v>0.0</v>
      </c>
      <c r="H31" s="95">
        <v>0.0</v>
      </c>
      <c r="I31" s="95">
        <v>0.0</v>
      </c>
      <c r="J31" s="95">
        <v>0.0</v>
      </c>
      <c r="K31" s="95">
        <v>0.0</v>
      </c>
      <c r="L31" s="95">
        <v>0.0</v>
      </c>
      <c r="M31" s="96">
        <f t="shared" si="4"/>
        <v>698</v>
      </c>
    </row>
    <row r="32">
      <c r="A32" s="2">
        <v>31.0</v>
      </c>
      <c r="B32" s="91">
        <v>45747.0</v>
      </c>
      <c r="C32" s="95">
        <v>0.0</v>
      </c>
      <c r="D32" s="95">
        <f>225</f>
        <v>225</v>
      </c>
      <c r="E32" s="95">
        <v>0.0</v>
      </c>
      <c r="F32" s="95">
        <v>0.0</v>
      </c>
      <c r="G32" s="95">
        <v>0.0</v>
      </c>
      <c r="H32" s="95">
        <v>0.0</v>
      </c>
      <c r="I32" s="95">
        <v>0.0</v>
      </c>
      <c r="J32" s="95">
        <v>0.0</v>
      </c>
      <c r="K32" s="95">
        <v>0.0</v>
      </c>
      <c r="L32" s="95">
        <v>0.0</v>
      </c>
      <c r="M32" s="96">
        <f t="shared" si="4"/>
        <v>225</v>
      </c>
    </row>
  </sheetData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/>
      <c r="B1" s="65" t="s">
        <v>60</v>
      </c>
      <c r="C1" s="66" t="s">
        <v>34</v>
      </c>
      <c r="D1" s="67" t="s">
        <v>35</v>
      </c>
      <c r="E1" s="68" t="s">
        <v>61</v>
      </c>
      <c r="F1" s="68" t="s">
        <v>62</v>
      </c>
      <c r="G1" s="68" t="s">
        <v>40</v>
      </c>
      <c r="H1" s="68" t="s">
        <v>36</v>
      </c>
      <c r="I1" s="68" t="s">
        <v>63</v>
      </c>
      <c r="J1" s="68" t="s">
        <v>64</v>
      </c>
      <c r="K1" s="68" t="s">
        <v>65</v>
      </c>
      <c r="L1" s="68" t="s">
        <v>66</v>
      </c>
      <c r="M1" s="69" t="s">
        <v>67</v>
      </c>
      <c r="N1" s="34"/>
      <c r="O1" s="34"/>
    </row>
    <row r="2">
      <c r="A2" s="70">
        <v>1.0</v>
      </c>
      <c r="B2" s="71">
        <v>45748.0</v>
      </c>
      <c r="C2" s="92">
        <v>0.0</v>
      </c>
      <c r="D2" s="92">
        <v>0.0</v>
      </c>
      <c r="E2" s="92">
        <v>0.0</v>
      </c>
      <c r="F2" s="92">
        <f>250</f>
        <v>250</v>
      </c>
      <c r="G2" s="92">
        <v>0.0</v>
      </c>
      <c r="H2" s="92">
        <v>0.0</v>
      </c>
      <c r="I2" s="92">
        <v>0.0</v>
      </c>
      <c r="J2" s="92">
        <v>0.0</v>
      </c>
      <c r="K2" s="92">
        <v>0.0</v>
      </c>
      <c r="L2" s="92">
        <v>0.0</v>
      </c>
      <c r="M2" s="73">
        <f>SUMIF(C2:L2,"&lt;&gt;")</f>
        <v>250</v>
      </c>
      <c r="N2" s="74" t="s">
        <v>68</v>
      </c>
      <c r="O2" s="75">
        <f>+SUM(C2:C31,D2:D31)/ COUNTIFS(C2:C31, "&lt;&gt;", D2:D31, "&lt;&gt;")</f>
        <v>477.4763333</v>
      </c>
    </row>
    <row r="3">
      <c r="A3" s="70">
        <v>2.0</v>
      </c>
      <c r="B3" s="71">
        <v>45749.0</v>
      </c>
      <c r="C3" s="92">
        <v>0.0</v>
      </c>
      <c r="D3" s="92">
        <v>0.0</v>
      </c>
      <c r="E3" s="92">
        <v>0.0</v>
      </c>
      <c r="F3" s="92">
        <v>0.0</v>
      </c>
      <c r="G3" s="92">
        <f>671.5</f>
        <v>671.5</v>
      </c>
      <c r="H3" s="92">
        <f>406.32</f>
        <v>406.32</v>
      </c>
      <c r="I3" s="92">
        <f>26.45</f>
        <v>26.45</v>
      </c>
      <c r="J3" s="92">
        <v>0.0</v>
      </c>
      <c r="K3" s="92">
        <v>0.0</v>
      </c>
      <c r="L3" s="92">
        <v>0.0</v>
      </c>
      <c r="M3" s="73">
        <f>SUMIF(C3:K3,"&lt;&gt;")</f>
        <v>1104.27</v>
      </c>
      <c r="N3" s="76" t="s">
        <v>69</v>
      </c>
      <c r="O3" s="77">
        <f>+O13 / COUNTIF(C2:C31, "&lt;&gt;")</f>
        <v>1613.763333</v>
      </c>
    </row>
    <row r="4">
      <c r="A4" s="70">
        <v>3.0</v>
      </c>
      <c r="B4" s="71">
        <v>45750.0</v>
      </c>
      <c r="C4" s="92">
        <f>397</f>
        <v>397</v>
      </c>
      <c r="D4" s="92">
        <v>0.0</v>
      </c>
      <c r="E4" s="92">
        <v>0.0</v>
      </c>
      <c r="F4" s="92">
        <v>0.0</v>
      </c>
      <c r="G4" s="92">
        <f>725.75</f>
        <v>725.75</v>
      </c>
      <c r="H4" s="92">
        <f>470</f>
        <v>470</v>
      </c>
      <c r="I4" s="92">
        <f>20.16</f>
        <v>20.16</v>
      </c>
      <c r="J4" s="92">
        <v>0.0</v>
      </c>
      <c r="K4" s="92">
        <v>0.0</v>
      </c>
      <c r="L4" s="92">
        <v>0.0</v>
      </c>
      <c r="M4" s="73">
        <f t="shared" ref="M4:M6" si="1">SUMIF(C4:L4,"&lt;&gt;")</f>
        <v>1612.91</v>
      </c>
      <c r="N4" s="74" t="s">
        <v>70</v>
      </c>
      <c r="O4" s="78">
        <f>+SUM(C2:C31)</f>
        <v>5538.44</v>
      </c>
    </row>
    <row r="5">
      <c r="A5" s="70">
        <v>4.0</v>
      </c>
      <c r="B5" s="71">
        <v>45751.0</v>
      </c>
      <c r="C5" s="92">
        <v>0.0</v>
      </c>
      <c r="D5" s="92">
        <v>0.0</v>
      </c>
      <c r="E5" s="92">
        <v>0.0</v>
      </c>
      <c r="F5" s="92">
        <v>0.0</v>
      </c>
      <c r="G5" s="92">
        <v>0.0</v>
      </c>
      <c r="H5" s="92">
        <v>0.0</v>
      </c>
      <c r="I5" s="92">
        <v>0.0</v>
      </c>
      <c r="J5" s="92">
        <v>0.0</v>
      </c>
      <c r="K5" s="92">
        <v>0.0</v>
      </c>
      <c r="L5" s="92">
        <f>185</f>
        <v>185</v>
      </c>
      <c r="M5" s="73">
        <f t="shared" si="1"/>
        <v>185</v>
      </c>
      <c r="N5" s="79" t="s">
        <v>71</v>
      </c>
      <c r="O5" s="80">
        <f>+SUM(D2:D31)</f>
        <v>8785.85</v>
      </c>
    </row>
    <row r="6">
      <c r="A6" s="70">
        <v>5.0</v>
      </c>
      <c r="B6" s="71">
        <v>45752.0</v>
      </c>
      <c r="C6" s="92">
        <f>100.82</f>
        <v>100.82</v>
      </c>
      <c r="D6" s="92">
        <v>0.0</v>
      </c>
      <c r="E6" s="92">
        <v>0.0</v>
      </c>
      <c r="F6" s="92">
        <v>0.0</v>
      </c>
      <c r="G6" s="92">
        <v>0.0</v>
      </c>
      <c r="H6" s="92">
        <v>0.0</v>
      </c>
      <c r="I6" s="92">
        <f>39</f>
        <v>39</v>
      </c>
      <c r="J6" s="92">
        <v>0.0</v>
      </c>
      <c r="K6" s="92">
        <v>0.0</v>
      </c>
      <c r="L6" s="92">
        <v>0.0</v>
      </c>
      <c r="M6" s="73">
        <f t="shared" si="1"/>
        <v>139.82</v>
      </c>
      <c r="N6" s="79" t="s">
        <v>72</v>
      </c>
      <c r="O6" s="81">
        <f>SUM(J2:J31)</f>
        <v>0</v>
      </c>
    </row>
    <row r="7">
      <c r="A7" s="70">
        <v>6.0</v>
      </c>
      <c r="B7" s="71">
        <v>45753.0</v>
      </c>
      <c r="C7" s="92">
        <v>0.0</v>
      </c>
      <c r="D7" s="92">
        <f>234</f>
        <v>234</v>
      </c>
      <c r="E7" s="92">
        <v>0.0</v>
      </c>
      <c r="F7" s="92">
        <v>0.0</v>
      </c>
      <c r="G7" s="92">
        <v>0.0</v>
      </c>
      <c r="H7" s="92">
        <v>0.0</v>
      </c>
      <c r="I7" s="92">
        <v>0.0</v>
      </c>
      <c r="J7" s="92">
        <v>0.0</v>
      </c>
      <c r="K7" s="92">
        <v>0.0</v>
      </c>
      <c r="L7" s="92">
        <v>0.0</v>
      </c>
      <c r="M7" s="73">
        <f t="shared" ref="M7:M8" si="2">SUMIF(C7:K7,"&lt;&gt;")</f>
        <v>234</v>
      </c>
      <c r="N7" s="79" t="s">
        <v>73</v>
      </c>
      <c r="O7" s="82">
        <f>SUM(K2:K31)</f>
        <v>0</v>
      </c>
    </row>
    <row r="8">
      <c r="A8" s="70">
        <v>7.0</v>
      </c>
      <c r="B8" s="71">
        <v>45754.0</v>
      </c>
      <c r="C8" s="92">
        <v>0.0</v>
      </c>
      <c r="D8" s="92">
        <v>0.0</v>
      </c>
      <c r="E8" s="92">
        <v>0.0</v>
      </c>
      <c r="F8" s="92">
        <v>0.0</v>
      </c>
      <c r="G8" s="92">
        <v>0.0</v>
      </c>
      <c r="H8" s="92">
        <v>0.0</v>
      </c>
      <c r="I8" s="92">
        <v>0.0</v>
      </c>
      <c r="J8" s="92">
        <v>0.0</v>
      </c>
      <c r="K8" s="92">
        <v>0.0</v>
      </c>
      <c r="L8" s="92">
        <v>0.0</v>
      </c>
      <c r="M8" s="73">
        <f t="shared" si="2"/>
        <v>0</v>
      </c>
      <c r="N8" s="83" t="s">
        <v>74</v>
      </c>
      <c r="O8" s="84">
        <f>+SUM(E2:E31)</f>
        <v>1560</v>
      </c>
    </row>
    <row r="9">
      <c r="A9" s="70">
        <v>8.0</v>
      </c>
      <c r="B9" s="71">
        <v>45755.0</v>
      </c>
      <c r="C9" s="92">
        <f>26.95</f>
        <v>26.95</v>
      </c>
      <c r="D9" s="92">
        <v>0.0</v>
      </c>
      <c r="E9" s="92">
        <v>0.0</v>
      </c>
      <c r="F9" s="92">
        <v>0.0</v>
      </c>
      <c r="G9" s="92">
        <v>0.0</v>
      </c>
      <c r="H9" s="92">
        <v>0.0</v>
      </c>
      <c r="I9" s="92">
        <v>0.0</v>
      </c>
      <c r="J9" s="92">
        <v>0.0</v>
      </c>
      <c r="K9" s="92">
        <v>0.0</v>
      </c>
      <c r="L9" s="92">
        <f>1190</f>
        <v>1190</v>
      </c>
      <c r="M9" s="73">
        <f t="shared" ref="M9:M20" si="3">SUMIF(C9:L9,"&lt;&gt;")</f>
        <v>1216.95</v>
      </c>
      <c r="N9" s="85" t="s">
        <v>75</v>
      </c>
      <c r="O9" s="86">
        <f>Sum(H2:H31)</f>
        <v>13913.81</v>
      </c>
    </row>
    <row r="10">
      <c r="A10" s="70">
        <v>9.0</v>
      </c>
      <c r="B10" s="71">
        <v>45756.0</v>
      </c>
      <c r="C10" s="92">
        <v>0.0</v>
      </c>
      <c r="D10" s="92">
        <f>425.85</f>
        <v>425.85</v>
      </c>
      <c r="E10" s="92">
        <v>0.0</v>
      </c>
      <c r="F10" s="92">
        <v>0.0</v>
      </c>
      <c r="G10" s="92">
        <v>0.0</v>
      </c>
      <c r="H10" s="92">
        <v>0.0</v>
      </c>
      <c r="I10" s="92">
        <v>0.0</v>
      </c>
      <c r="J10" s="92">
        <v>0.0</v>
      </c>
      <c r="K10" s="92">
        <v>0.0</v>
      </c>
      <c r="L10" s="92">
        <v>0.0</v>
      </c>
      <c r="M10" s="73">
        <f t="shared" si="3"/>
        <v>425.85</v>
      </c>
      <c r="N10" s="85" t="s">
        <v>76</v>
      </c>
      <c r="O10" s="87">
        <f>SUM(I2:I31)</f>
        <v>85.61</v>
      </c>
    </row>
    <row r="11">
      <c r="A11" s="70">
        <v>10.0</v>
      </c>
      <c r="B11" s="71">
        <v>45757.0</v>
      </c>
      <c r="C11" s="92">
        <v>0.0</v>
      </c>
      <c r="D11" s="92">
        <f>221</f>
        <v>221</v>
      </c>
      <c r="E11" s="92">
        <v>0.0</v>
      </c>
      <c r="F11" s="92">
        <v>0.0</v>
      </c>
      <c r="G11" s="92">
        <v>0.0</v>
      </c>
      <c r="H11" s="92">
        <v>0.0</v>
      </c>
      <c r="I11" s="92">
        <v>0.0</v>
      </c>
      <c r="J11" s="92">
        <v>0.0</v>
      </c>
      <c r="K11" s="92">
        <v>0.0</v>
      </c>
      <c r="L11" s="92">
        <v>0.0</v>
      </c>
      <c r="M11" s="73">
        <f t="shared" si="3"/>
        <v>221</v>
      </c>
      <c r="N11" s="85" t="s">
        <v>77</v>
      </c>
      <c r="O11" s="88">
        <f>+SUM(L2:L31)</f>
        <v>1708.06</v>
      </c>
    </row>
    <row r="12">
      <c r="A12" s="70">
        <v>11.0</v>
      </c>
      <c r="B12" s="71">
        <v>45758.0</v>
      </c>
      <c r="C12" s="92">
        <v>0.0</v>
      </c>
      <c r="D12" s="92">
        <f>620</f>
        <v>620</v>
      </c>
      <c r="E12" s="92">
        <v>0.0</v>
      </c>
      <c r="F12" s="92">
        <v>0.0</v>
      </c>
      <c r="G12" s="92">
        <v>0.0</v>
      </c>
      <c r="H12" s="92">
        <f>3625.88</f>
        <v>3625.88</v>
      </c>
      <c r="I12" s="92">
        <v>0.0</v>
      </c>
      <c r="J12" s="92">
        <v>0.0</v>
      </c>
      <c r="K12" s="92">
        <v>0.0</v>
      </c>
      <c r="L12" s="92">
        <v>0.0</v>
      </c>
      <c r="M12" s="73">
        <f t="shared" si="3"/>
        <v>4245.88</v>
      </c>
      <c r="N12" s="85" t="s">
        <v>40</v>
      </c>
      <c r="O12" s="89">
        <f>sum(G2:G31)</f>
        <v>1571.13</v>
      </c>
    </row>
    <row r="13">
      <c r="A13" s="70">
        <v>12.0</v>
      </c>
      <c r="B13" s="71">
        <v>45759.0</v>
      </c>
      <c r="C13" s="92">
        <f>154.5</f>
        <v>154.5</v>
      </c>
      <c r="D13" s="92">
        <f>331</f>
        <v>331</v>
      </c>
      <c r="E13" s="92">
        <v>0.0</v>
      </c>
      <c r="F13" s="92">
        <v>0.0</v>
      </c>
      <c r="G13" s="92">
        <v>0.0</v>
      </c>
      <c r="H13" s="92">
        <f>5666.5</f>
        <v>5666.5</v>
      </c>
      <c r="I13" s="92">
        <v>0.0</v>
      </c>
      <c r="J13" s="92">
        <v>0.0</v>
      </c>
      <c r="K13" s="92">
        <v>0.0</v>
      </c>
      <c r="L13" s="92">
        <v>0.0</v>
      </c>
      <c r="M13" s="73">
        <f t="shared" si="3"/>
        <v>6152</v>
      </c>
      <c r="N13" s="76" t="s">
        <v>45</v>
      </c>
      <c r="O13" s="90">
        <f>+SUM(C2:L31)</f>
        <v>48412.9</v>
      </c>
    </row>
    <row r="14">
      <c r="A14" s="70">
        <v>13.0</v>
      </c>
      <c r="B14" s="71">
        <v>45760.0</v>
      </c>
      <c r="C14" s="92">
        <f>1557.1+299.97</f>
        <v>1857.07</v>
      </c>
      <c r="D14" s="92">
        <f>5000+234</f>
        <v>5234</v>
      </c>
      <c r="E14" s="92">
        <v>0.0</v>
      </c>
      <c r="F14" s="92">
        <v>0.0</v>
      </c>
      <c r="G14" s="92">
        <v>0.0</v>
      </c>
      <c r="H14" s="92">
        <f>969.34</f>
        <v>969.34</v>
      </c>
      <c r="I14" s="92">
        <v>0.0</v>
      </c>
      <c r="J14" s="92">
        <v>0.0</v>
      </c>
      <c r="K14" s="92">
        <v>0.0</v>
      </c>
      <c r="L14" s="92">
        <v>0.0</v>
      </c>
      <c r="M14" s="73">
        <f t="shared" si="3"/>
        <v>8060.41</v>
      </c>
      <c r="N14" s="34"/>
      <c r="O14" s="28"/>
    </row>
    <row r="15">
      <c r="A15" s="70">
        <v>14.0</v>
      </c>
      <c r="B15" s="71">
        <v>45761.0</v>
      </c>
      <c r="C15" s="92">
        <f>199.39</f>
        <v>199.39</v>
      </c>
      <c r="D15" s="92">
        <v>0.0</v>
      </c>
      <c r="E15" s="92">
        <v>0.0</v>
      </c>
      <c r="F15" s="92">
        <v>0.0</v>
      </c>
      <c r="G15" s="92">
        <v>0.0</v>
      </c>
      <c r="H15" s="92">
        <v>0.0</v>
      </c>
      <c r="I15" s="92">
        <v>0.0</v>
      </c>
      <c r="J15" s="92">
        <v>0.0</v>
      </c>
      <c r="K15" s="92">
        <v>0.0</v>
      </c>
      <c r="L15" s="92">
        <v>0.0</v>
      </c>
      <c r="M15" s="73">
        <f t="shared" si="3"/>
        <v>199.39</v>
      </c>
      <c r="N15" s="34"/>
      <c r="O15" s="34"/>
    </row>
    <row r="16">
      <c r="A16" s="70">
        <v>15.0</v>
      </c>
      <c r="B16" s="71">
        <v>45762.0</v>
      </c>
      <c r="C16" s="92">
        <v>0.0</v>
      </c>
      <c r="D16" s="92">
        <v>0.0</v>
      </c>
      <c r="E16" s="92">
        <v>0.0</v>
      </c>
      <c r="F16" s="92">
        <v>0.0</v>
      </c>
      <c r="G16" s="92">
        <v>0.0</v>
      </c>
      <c r="H16" s="92">
        <v>0.0</v>
      </c>
      <c r="I16" s="92">
        <v>0.0</v>
      </c>
      <c r="J16" s="92">
        <v>0.0</v>
      </c>
      <c r="K16" s="92">
        <v>0.0</v>
      </c>
      <c r="L16" s="92">
        <v>0.0</v>
      </c>
      <c r="M16" s="73">
        <f t="shared" si="3"/>
        <v>0</v>
      </c>
      <c r="N16" s="34"/>
      <c r="O16" s="34"/>
    </row>
    <row r="17">
      <c r="A17" s="70">
        <v>16.0</v>
      </c>
      <c r="B17" s="71">
        <v>45763.0</v>
      </c>
      <c r="C17" s="92">
        <f>303.22+11</f>
        <v>314.22</v>
      </c>
      <c r="D17" s="92">
        <v>0.0</v>
      </c>
      <c r="E17" s="92">
        <v>0.0</v>
      </c>
      <c r="F17" s="92">
        <v>0.0</v>
      </c>
      <c r="G17" s="92">
        <v>0.0</v>
      </c>
      <c r="H17" s="92">
        <f>366</f>
        <v>366</v>
      </c>
      <c r="I17" s="92">
        <v>0.0</v>
      </c>
      <c r="J17" s="92">
        <v>0.0</v>
      </c>
      <c r="K17" s="92">
        <v>0.0</v>
      </c>
      <c r="L17" s="92">
        <v>0.0</v>
      </c>
      <c r="M17" s="73">
        <f t="shared" si="3"/>
        <v>680.22</v>
      </c>
      <c r="N17" s="34"/>
      <c r="O17" s="34"/>
    </row>
    <row r="18">
      <c r="A18" s="70">
        <v>17.0</v>
      </c>
      <c r="B18" s="71">
        <v>45764.0</v>
      </c>
      <c r="C18" s="92">
        <v>0.0</v>
      </c>
      <c r="D18" s="92">
        <v>0.0</v>
      </c>
      <c r="E18" s="92">
        <v>0.0</v>
      </c>
      <c r="F18" s="92">
        <f>15000</f>
        <v>15000</v>
      </c>
      <c r="G18" s="92">
        <v>0.0</v>
      </c>
      <c r="H18" s="92">
        <f>177.5</f>
        <v>177.5</v>
      </c>
      <c r="I18" s="92">
        <v>0.0</v>
      </c>
      <c r="J18" s="92">
        <v>0.0</v>
      </c>
      <c r="K18" s="92">
        <v>0.0</v>
      </c>
      <c r="L18" s="92">
        <v>0.0</v>
      </c>
      <c r="M18" s="73">
        <f t="shared" si="3"/>
        <v>15177.5</v>
      </c>
      <c r="N18" s="34"/>
      <c r="O18" s="34"/>
    </row>
    <row r="19">
      <c r="A19" s="70">
        <v>18.0</v>
      </c>
      <c r="B19" s="71">
        <v>45765.0</v>
      </c>
      <c r="C19" s="92">
        <v>0.0</v>
      </c>
      <c r="D19" s="92">
        <v>0.0</v>
      </c>
      <c r="E19" s="92">
        <v>0.0</v>
      </c>
      <c r="F19" s="92">
        <v>0.0</v>
      </c>
      <c r="G19" s="92">
        <v>0.0</v>
      </c>
      <c r="H19" s="92">
        <v>0.0</v>
      </c>
      <c r="I19" s="92">
        <v>0.0</v>
      </c>
      <c r="J19" s="92">
        <v>0.0</v>
      </c>
      <c r="K19" s="92">
        <v>0.0</v>
      </c>
      <c r="L19" s="92">
        <v>0.0</v>
      </c>
      <c r="M19" s="73">
        <f t="shared" si="3"/>
        <v>0</v>
      </c>
      <c r="N19" s="34"/>
      <c r="O19" s="34"/>
    </row>
    <row r="20">
      <c r="A20" s="70">
        <v>19.0</v>
      </c>
      <c r="B20" s="71">
        <v>45766.0</v>
      </c>
      <c r="C20" s="92">
        <f>424.5</f>
        <v>424.5</v>
      </c>
      <c r="D20" s="92">
        <f>465</f>
        <v>465</v>
      </c>
      <c r="E20" s="92">
        <v>0.0</v>
      </c>
      <c r="F20" s="92">
        <v>0.0</v>
      </c>
      <c r="G20" s="92">
        <v>0.0</v>
      </c>
      <c r="H20" s="92">
        <f>306+1335.82</f>
        <v>1641.82</v>
      </c>
      <c r="I20" s="92">
        <v>0.0</v>
      </c>
      <c r="J20" s="92">
        <v>0.0</v>
      </c>
      <c r="K20" s="92">
        <v>0.0</v>
      </c>
      <c r="L20" s="92">
        <v>0.0</v>
      </c>
      <c r="M20" s="73">
        <f t="shared" si="3"/>
        <v>2531.32</v>
      </c>
      <c r="N20" s="34"/>
      <c r="O20" s="34"/>
    </row>
    <row r="21">
      <c r="A21" s="70">
        <v>20.0</v>
      </c>
      <c r="B21" s="71">
        <v>45767.0</v>
      </c>
      <c r="C21" s="92">
        <f>436.33+251.36+362.9</f>
        <v>1050.59</v>
      </c>
      <c r="D21" s="92">
        <v>0.0</v>
      </c>
      <c r="E21" s="92">
        <f>780*2</f>
        <v>1560</v>
      </c>
      <c r="F21" s="92">
        <v>0.0</v>
      </c>
      <c r="G21" s="92">
        <f>173.88</f>
        <v>173.88</v>
      </c>
      <c r="H21" s="92">
        <v>0.0</v>
      </c>
      <c r="I21" s="92">
        <v>0.0</v>
      </c>
      <c r="J21" s="92">
        <v>0.0</v>
      </c>
      <c r="K21" s="92">
        <v>0.0</v>
      </c>
      <c r="L21" s="92">
        <f>333.06</f>
        <v>333.06</v>
      </c>
      <c r="M21" s="73">
        <f>SUMIF(D21:L21,"&lt;&gt;")</f>
        <v>2066.94</v>
      </c>
      <c r="N21" s="34"/>
      <c r="O21" s="34"/>
    </row>
    <row r="22">
      <c r="A22" s="70">
        <v>21.0</v>
      </c>
      <c r="B22" s="71">
        <v>45768.0</v>
      </c>
      <c r="C22" s="92">
        <v>0.0</v>
      </c>
      <c r="D22" s="92">
        <v>0.0</v>
      </c>
      <c r="E22" s="92">
        <v>0.0</v>
      </c>
      <c r="F22" s="92">
        <v>0.0</v>
      </c>
      <c r="G22" s="92">
        <v>0.0</v>
      </c>
      <c r="H22" s="92">
        <f>590.45</f>
        <v>590.45</v>
      </c>
      <c r="I22" s="92">
        <v>0.0</v>
      </c>
      <c r="J22" s="92">
        <v>0.0</v>
      </c>
      <c r="K22" s="92">
        <v>0.0</v>
      </c>
      <c r="L22" s="92">
        <v>0.0</v>
      </c>
      <c r="M22" s="73">
        <f t="shared" ref="M22:M31" si="4">SUMIF(C22:L22,"&lt;&gt;")</f>
        <v>590.45</v>
      </c>
      <c r="N22" s="34"/>
      <c r="O22" s="34"/>
    </row>
    <row r="23">
      <c r="A23" s="70">
        <v>22.0</v>
      </c>
      <c r="B23" s="71">
        <v>45769.0</v>
      </c>
      <c r="C23" s="92">
        <v>0.0</v>
      </c>
      <c r="D23" s="92">
        <v>0.0</v>
      </c>
      <c r="E23" s="92">
        <v>0.0</v>
      </c>
      <c r="F23" s="92">
        <v>0.0</v>
      </c>
      <c r="G23" s="92">
        <v>0.0</v>
      </c>
      <c r="H23" s="92">
        <v>0.0</v>
      </c>
      <c r="I23" s="92">
        <v>0.0</v>
      </c>
      <c r="J23" s="92">
        <v>0.0</v>
      </c>
      <c r="K23" s="92">
        <v>0.0</v>
      </c>
      <c r="L23" s="92">
        <v>0.0</v>
      </c>
      <c r="M23" s="73">
        <f t="shared" si="4"/>
        <v>0</v>
      </c>
      <c r="N23" s="34"/>
      <c r="O23" s="34"/>
    </row>
    <row r="24">
      <c r="A24" s="70">
        <v>23.0</v>
      </c>
      <c r="B24" s="71">
        <v>45770.0</v>
      </c>
      <c r="C24" s="92">
        <v>0.0</v>
      </c>
      <c r="D24" s="92">
        <v>0.0</v>
      </c>
      <c r="E24" s="92">
        <v>0.0</v>
      </c>
      <c r="F24" s="92">
        <v>0.0</v>
      </c>
      <c r="G24" s="92">
        <v>0.0</v>
      </c>
      <c r="H24" s="92">
        <v>0.0</v>
      </c>
      <c r="I24" s="92">
        <v>0.0</v>
      </c>
      <c r="J24" s="92">
        <v>0.0</v>
      </c>
      <c r="K24" s="92">
        <v>0.0</v>
      </c>
      <c r="L24" s="92">
        <v>0.0</v>
      </c>
      <c r="M24" s="73">
        <f t="shared" si="4"/>
        <v>0</v>
      </c>
      <c r="N24" s="34"/>
      <c r="O24" s="34"/>
    </row>
    <row r="25">
      <c r="A25" s="70">
        <v>24.0</v>
      </c>
      <c r="B25" s="71">
        <v>45771.0</v>
      </c>
      <c r="C25" s="92">
        <v>0.0</v>
      </c>
      <c r="D25" s="92">
        <v>0.0</v>
      </c>
      <c r="E25" s="92">
        <v>0.0</v>
      </c>
      <c r="F25" s="92">
        <v>0.0</v>
      </c>
      <c r="G25" s="92">
        <v>0.0</v>
      </c>
      <c r="H25" s="92">
        <v>0.0</v>
      </c>
      <c r="I25" s="92">
        <v>0.0</v>
      </c>
      <c r="J25" s="92">
        <v>0.0</v>
      </c>
      <c r="K25" s="92">
        <v>0.0</v>
      </c>
      <c r="L25" s="92">
        <v>0.0</v>
      </c>
      <c r="M25" s="73">
        <f t="shared" si="4"/>
        <v>0</v>
      </c>
      <c r="N25" s="34"/>
      <c r="O25" s="34"/>
    </row>
    <row r="26">
      <c r="A26" s="70">
        <v>25.0</v>
      </c>
      <c r="B26" s="71">
        <v>45772.0</v>
      </c>
      <c r="C26" s="92">
        <v>0.0</v>
      </c>
      <c r="D26" s="92">
        <v>0.0</v>
      </c>
      <c r="E26" s="92">
        <v>0.0</v>
      </c>
      <c r="F26" s="92">
        <v>0.0</v>
      </c>
      <c r="G26" s="92">
        <v>0.0</v>
      </c>
      <c r="H26" s="92">
        <v>0.0</v>
      </c>
      <c r="I26" s="92">
        <v>0.0</v>
      </c>
      <c r="J26" s="92">
        <v>0.0</v>
      </c>
      <c r="K26" s="92">
        <v>0.0</v>
      </c>
      <c r="L26" s="92">
        <v>0.0</v>
      </c>
      <c r="M26" s="73">
        <f t="shared" si="4"/>
        <v>0</v>
      </c>
      <c r="N26" s="34"/>
      <c r="O26" s="34"/>
    </row>
    <row r="27">
      <c r="A27" s="70">
        <v>26.0</v>
      </c>
      <c r="B27" s="71">
        <v>45773.0</v>
      </c>
      <c r="C27" s="92">
        <f>240+476.99+34</f>
        <v>750.99</v>
      </c>
      <c r="D27" s="92">
        <v>0.0</v>
      </c>
      <c r="E27" s="92">
        <v>0.0</v>
      </c>
      <c r="F27" s="92">
        <v>0.0</v>
      </c>
      <c r="G27" s="92">
        <v>0.0</v>
      </c>
      <c r="H27" s="92">
        <v>0.0</v>
      </c>
      <c r="I27" s="92">
        <v>0.0</v>
      </c>
      <c r="J27" s="92">
        <v>0.0</v>
      </c>
      <c r="K27" s="92">
        <v>0.0</v>
      </c>
      <c r="L27" s="92">
        <v>0.0</v>
      </c>
      <c r="M27" s="73">
        <f t="shared" si="4"/>
        <v>750.99</v>
      </c>
      <c r="N27" s="34"/>
      <c r="O27" s="34"/>
    </row>
    <row r="28">
      <c r="A28" s="70">
        <v>27.0</v>
      </c>
      <c r="B28" s="71">
        <v>45774.0</v>
      </c>
      <c r="C28" s="92">
        <v>0.0</v>
      </c>
      <c r="D28" s="92">
        <v>0.0</v>
      </c>
      <c r="E28" s="92">
        <v>0.0</v>
      </c>
      <c r="F28" s="92">
        <v>0.0</v>
      </c>
      <c r="G28" s="92">
        <v>0.0</v>
      </c>
      <c r="H28" s="92">
        <v>0.0</v>
      </c>
      <c r="I28" s="92">
        <v>0.0</v>
      </c>
      <c r="J28" s="92">
        <v>0.0</v>
      </c>
      <c r="K28" s="92">
        <v>0.0</v>
      </c>
      <c r="L28" s="92">
        <v>0.0</v>
      </c>
      <c r="M28" s="73">
        <f t="shared" si="4"/>
        <v>0</v>
      </c>
      <c r="N28" s="34"/>
      <c r="O28" s="34"/>
    </row>
    <row r="29">
      <c r="A29" s="70">
        <v>28.0</v>
      </c>
      <c r="B29" s="71">
        <v>45775.0</v>
      </c>
      <c r="C29" s="92">
        <f>262.41</f>
        <v>262.41</v>
      </c>
      <c r="D29" s="92">
        <v>0.0</v>
      </c>
      <c r="E29" s="92">
        <v>0.0</v>
      </c>
      <c r="F29" s="92">
        <v>0.0</v>
      </c>
      <c r="G29" s="92">
        <v>0.0</v>
      </c>
      <c r="H29" s="92">
        <v>0.0</v>
      </c>
      <c r="I29" s="92">
        <v>0.0</v>
      </c>
      <c r="J29" s="92">
        <v>0.0</v>
      </c>
      <c r="K29" s="92">
        <v>0.0</v>
      </c>
      <c r="L29" s="92">
        <v>0.0</v>
      </c>
      <c r="M29" s="73">
        <f t="shared" si="4"/>
        <v>262.41</v>
      </c>
      <c r="N29" s="34"/>
      <c r="O29" s="34"/>
    </row>
    <row r="30">
      <c r="A30" s="2">
        <v>29.0</v>
      </c>
      <c r="B30" s="91">
        <v>45776.0</v>
      </c>
      <c r="C30" s="92">
        <v>0.0</v>
      </c>
      <c r="D30" s="92">
        <f>235+1020</f>
        <v>1255</v>
      </c>
      <c r="E30" s="92">
        <v>0.0</v>
      </c>
      <c r="F30" s="92">
        <v>0.0</v>
      </c>
      <c r="G30" s="92">
        <v>0.0</v>
      </c>
      <c r="H30" s="92">
        <v>0.0</v>
      </c>
      <c r="I30" s="92">
        <v>0.0</v>
      </c>
      <c r="J30" s="92">
        <v>0.0</v>
      </c>
      <c r="K30" s="92">
        <v>0.0</v>
      </c>
      <c r="L30" s="92">
        <v>0.0</v>
      </c>
      <c r="M30" s="73">
        <f t="shared" si="4"/>
        <v>1255</v>
      </c>
    </row>
    <row r="31">
      <c r="A31" s="2">
        <v>30.0</v>
      </c>
      <c r="B31" s="91">
        <v>45777.0</v>
      </c>
      <c r="C31" s="95">
        <v>0.0</v>
      </c>
      <c r="D31" s="95">
        <v>0.0</v>
      </c>
      <c r="E31" s="95">
        <v>0.0</v>
      </c>
      <c r="F31" s="95">
        <v>0.0</v>
      </c>
      <c r="G31" s="95">
        <v>0.0</v>
      </c>
      <c r="H31" s="95">
        <v>0.0</v>
      </c>
      <c r="I31" s="95">
        <v>0.0</v>
      </c>
      <c r="J31" s="95">
        <v>0.0</v>
      </c>
      <c r="K31" s="95">
        <v>0.0</v>
      </c>
      <c r="L31" s="95">
        <v>0.0</v>
      </c>
      <c r="M31" s="96">
        <f t="shared" si="4"/>
        <v>0</v>
      </c>
    </row>
  </sheetData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/>
      <c r="B1" s="65" t="s">
        <v>60</v>
      </c>
      <c r="C1" s="66" t="s">
        <v>34</v>
      </c>
      <c r="D1" s="67" t="s">
        <v>35</v>
      </c>
      <c r="E1" s="68" t="s">
        <v>61</v>
      </c>
      <c r="F1" s="68" t="s">
        <v>62</v>
      </c>
      <c r="G1" s="68" t="s">
        <v>40</v>
      </c>
      <c r="H1" s="68" t="s">
        <v>36</v>
      </c>
      <c r="I1" s="68" t="s">
        <v>63</v>
      </c>
      <c r="J1" s="68" t="s">
        <v>64</v>
      </c>
      <c r="K1" s="68" t="s">
        <v>65</v>
      </c>
      <c r="L1" s="68" t="s">
        <v>66</v>
      </c>
      <c r="M1" s="69" t="s">
        <v>67</v>
      </c>
      <c r="N1" s="34"/>
      <c r="O1" s="34"/>
    </row>
    <row r="2">
      <c r="A2" s="70">
        <v>1.0</v>
      </c>
      <c r="B2" s="71">
        <v>45778.0</v>
      </c>
      <c r="C2" s="92">
        <f>53.25+453.46</f>
        <v>506.71</v>
      </c>
      <c r="D2" s="92">
        <f>340</f>
        <v>340</v>
      </c>
      <c r="E2" s="92">
        <v>0.0</v>
      </c>
      <c r="F2" s="92">
        <v>0.0</v>
      </c>
      <c r="G2" s="92">
        <v>0.0</v>
      </c>
      <c r="H2" s="92">
        <v>0.0</v>
      </c>
      <c r="I2" s="92">
        <v>0.0</v>
      </c>
      <c r="J2" s="92">
        <v>0.0</v>
      </c>
      <c r="K2" s="92">
        <v>0.0</v>
      </c>
      <c r="L2" s="92">
        <v>0.0</v>
      </c>
      <c r="M2" s="73">
        <f>SUMIF(C2:L2,"&lt;&gt;")</f>
        <v>846.71</v>
      </c>
      <c r="N2" s="74" t="s">
        <v>68</v>
      </c>
      <c r="O2" s="75">
        <f>+SUM(C2:C32,D2:D32)/ COUNTIFS(C2:C32, "&lt;&gt;", D2:D32, "&lt;&gt;")</f>
        <v>181.8016129</v>
      </c>
    </row>
    <row r="3">
      <c r="A3" s="70">
        <v>2.0</v>
      </c>
      <c r="B3" s="71">
        <v>45779.0</v>
      </c>
      <c r="C3" s="92">
        <v>0.0</v>
      </c>
      <c r="D3" s="92">
        <v>0.0</v>
      </c>
      <c r="E3" s="92">
        <f>548+200</f>
        <v>748</v>
      </c>
      <c r="F3" s="92">
        <v>0.0</v>
      </c>
      <c r="G3" s="92">
        <f>760.75</f>
        <v>760.75</v>
      </c>
      <c r="H3" s="92">
        <f>470+406.31</f>
        <v>876.31</v>
      </c>
      <c r="I3" s="92">
        <f>25.82</f>
        <v>25.82</v>
      </c>
      <c r="J3" s="92">
        <v>0.0</v>
      </c>
      <c r="K3" s="92">
        <v>0.0</v>
      </c>
      <c r="L3" s="92">
        <f>406.31</f>
        <v>406.31</v>
      </c>
      <c r="M3" s="73">
        <f>SUMIF(C3:K3,"&lt;&gt;")</f>
        <v>2410.88</v>
      </c>
      <c r="N3" s="76" t="s">
        <v>69</v>
      </c>
      <c r="O3" s="77">
        <f>+O13 / COUNTIF(C2:C32, "&lt;&gt;")</f>
        <v>1193.479355</v>
      </c>
    </row>
    <row r="4">
      <c r="A4" s="70">
        <v>3.0</v>
      </c>
      <c r="B4" s="71">
        <v>45780.0</v>
      </c>
      <c r="C4" s="92">
        <f>100.3</f>
        <v>100.3</v>
      </c>
      <c r="D4" s="92">
        <f>309.84</f>
        <v>309.84</v>
      </c>
      <c r="E4" s="92">
        <f>798</f>
        <v>798</v>
      </c>
      <c r="F4" s="92">
        <v>0.0</v>
      </c>
      <c r="G4" s="92">
        <f>671.5</f>
        <v>671.5</v>
      </c>
      <c r="H4" s="92">
        <v>0.0</v>
      </c>
      <c r="I4" s="92">
        <f>19.86</f>
        <v>19.86</v>
      </c>
      <c r="J4" s="92">
        <f>1199+110+1269</f>
        <v>2578</v>
      </c>
      <c r="K4" s="92">
        <v>0.0</v>
      </c>
      <c r="L4" s="92">
        <v>0.0</v>
      </c>
      <c r="M4" s="73">
        <f t="shared" ref="M4:M6" si="1">SUMIF(C4:L4,"&lt;&gt;")</f>
        <v>4477.5</v>
      </c>
      <c r="N4" s="74" t="s">
        <v>70</v>
      </c>
      <c r="O4" s="78">
        <f>+SUM(C2:C32)</f>
        <v>4986.01</v>
      </c>
    </row>
    <row r="5">
      <c r="A5" s="70">
        <v>4.0</v>
      </c>
      <c r="B5" s="71">
        <v>45781.0</v>
      </c>
      <c r="C5" s="92">
        <v>0.0</v>
      </c>
      <c r="D5" s="92">
        <v>0.0</v>
      </c>
      <c r="E5" s="92">
        <f>31.62</f>
        <v>31.62</v>
      </c>
      <c r="F5" s="92">
        <v>0.0</v>
      </c>
      <c r="G5" s="92">
        <v>0.0</v>
      </c>
      <c r="H5" s="92">
        <v>0.0</v>
      </c>
      <c r="I5" s="92">
        <v>0.0</v>
      </c>
      <c r="J5" s="92">
        <v>0.0</v>
      </c>
      <c r="K5" s="92">
        <v>0.0</v>
      </c>
      <c r="L5" s="92">
        <v>0.0</v>
      </c>
      <c r="M5" s="73">
        <f t="shared" si="1"/>
        <v>31.62</v>
      </c>
      <c r="N5" s="79" t="s">
        <v>71</v>
      </c>
      <c r="O5" s="80">
        <f>+SUM(D2:D32)</f>
        <v>649.84</v>
      </c>
    </row>
    <row r="6">
      <c r="A6" s="70">
        <v>5.0</v>
      </c>
      <c r="B6" s="71">
        <v>45782.0</v>
      </c>
      <c r="C6" s="92">
        <v>0.0</v>
      </c>
      <c r="D6" s="92">
        <v>0.0</v>
      </c>
      <c r="E6" s="92">
        <v>0.0</v>
      </c>
      <c r="F6" s="92">
        <v>0.0</v>
      </c>
      <c r="G6" s="92">
        <v>0.0</v>
      </c>
      <c r="H6" s="92">
        <v>0.0</v>
      </c>
      <c r="I6" s="92">
        <f>39</f>
        <v>39</v>
      </c>
      <c r="J6" s="92">
        <v>0.0</v>
      </c>
      <c r="K6" s="92">
        <v>0.0</v>
      </c>
      <c r="L6" s="92">
        <f>310+1110-310+415</f>
        <v>1525</v>
      </c>
      <c r="M6" s="73">
        <f t="shared" si="1"/>
        <v>1564</v>
      </c>
      <c r="N6" s="79" t="s">
        <v>72</v>
      </c>
      <c r="O6" s="81">
        <f>SUM(J2:J32)</f>
        <v>2578</v>
      </c>
    </row>
    <row r="7">
      <c r="A7" s="70">
        <v>6.0</v>
      </c>
      <c r="B7" s="71">
        <v>45783.0</v>
      </c>
      <c r="C7" s="92">
        <v>0.0</v>
      </c>
      <c r="D7" s="92">
        <v>0.0</v>
      </c>
      <c r="E7" s="92">
        <v>0.0</v>
      </c>
      <c r="F7" s="92">
        <v>0.0</v>
      </c>
      <c r="G7" s="92">
        <v>0.0</v>
      </c>
      <c r="H7" s="92">
        <v>0.0</v>
      </c>
      <c r="I7" s="92">
        <v>0.0</v>
      </c>
      <c r="J7" s="92">
        <v>0.0</v>
      </c>
      <c r="K7" s="92">
        <v>0.0</v>
      </c>
      <c r="L7" s="92">
        <v>0.0</v>
      </c>
      <c r="M7" s="73">
        <f t="shared" ref="M7:M8" si="2">SUMIF(C7:K7,"&lt;&gt;")</f>
        <v>0</v>
      </c>
      <c r="N7" s="79" t="s">
        <v>73</v>
      </c>
      <c r="O7" s="82">
        <f>SUM(K2:K32)</f>
        <v>0</v>
      </c>
    </row>
    <row r="8">
      <c r="A8" s="70">
        <v>7.0</v>
      </c>
      <c r="B8" s="71">
        <v>45784.0</v>
      </c>
      <c r="C8" s="92">
        <v>0.0</v>
      </c>
      <c r="D8" s="92">
        <v>0.0</v>
      </c>
      <c r="E8" s="92">
        <v>0.0</v>
      </c>
      <c r="F8" s="92">
        <v>0.0</v>
      </c>
      <c r="G8" s="92">
        <v>0.0</v>
      </c>
      <c r="H8" s="92">
        <v>0.0</v>
      </c>
      <c r="I8" s="92">
        <v>0.0</v>
      </c>
      <c r="J8" s="92">
        <v>0.0</v>
      </c>
      <c r="K8" s="92">
        <v>0.0</v>
      </c>
      <c r="L8" s="92">
        <v>0.0</v>
      </c>
      <c r="M8" s="73">
        <f t="shared" si="2"/>
        <v>0</v>
      </c>
      <c r="N8" s="83" t="s">
        <v>74</v>
      </c>
      <c r="O8" s="84">
        <f>+SUM(E2:E32)</f>
        <v>1577.62</v>
      </c>
    </row>
    <row r="9">
      <c r="A9" s="70">
        <v>8.0</v>
      </c>
      <c r="B9" s="71">
        <v>45785.0</v>
      </c>
      <c r="C9" s="92">
        <f>85</f>
        <v>85</v>
      </c>
      <c r="D9" s="92">
        <v>0.0</v>
      </c>
      <c r="E9" s="92">
        <v>0.0</v>
      </c>
      <c r="F9" s="92">
        <v>0.0</v>
      </c>
      <c r="G9" s="92">
        <v>0.0</v>
      </c>
      <c r="H9" s="92">
        <v>0.0</v>
      </c>
      <c r="I9" s="92">
        <v>0.0</v>
      </c>
      <c r="J9" s="92">
        <v>0.0</v>
      </c>
      <c r="K9" s="92">
        <v>0.0</v>
      </c>
      <c r="L9" s="92">
        <v>0.0</v>
      </c>
      <c r="M9" s="73">
        <f t="shared" ref="M9:M20" si="3">SUMIF(C9:L9,"&lt;&gt;")</f>
        <v>85</v>
      </c>
      <c r="N9" s="85" t="s">
        <v>75</v>
      </c>
      <c r="O9" s="86">
        <f>Sum(H2:H32)</f>
        <v>8184.15</v>
      </c>
    </row>
    <row r="10">
      <c r="A10" s="70">
        <v>9.0</v>
      </c>
      <c r="B10" s="71">
        <v>45786.0</v>
      </c>
      <c r="C10" s="92">
        <v>0.0</v>
      </c>
      <c r="D10" s="92">
        <v>0.0</v>
      </c>
      <c r="E10" s="92">
        <v>0.0</v>
      </c>
      <c r="F10" s="92">
        <v>0.0</v>
      </c>
      <c r="G10" s="92">
        <v>0.0</v>
      </c>
      <c r="H10" s="92">
        <v>0.0</v>
      </c>
      <c r="I10" s="92">
        <v>0.0</v>
      </c>
      <c r="J10" s="92">
        <v>0.0</v>
      </c>
      <c r="K10" s="92">
        <v>0.0</v>
      </c>
      <c r="L10" s="92">
        <v>0.0</v>
      </c>
      <c r="M10" s="73">
        <f t="shared" si="3"/>
        <v>0</v>
      </c>
      <c r="N10" s="85" t="s">
        <v>76</v>
      </c>
      <c r="O10" s="87">
        <f>SUM(I2:I32)</f>
        <v>84.68</v>
      </c>
    </row>
    <row r="11">
      <c r="A11" s="70">
        <v>10.0</v>
      </c>
      <c r="B11" s="71">
        <v>45787.0</v>
      </c>
      <c r="C11" s="92">
        <f>8.56</f>
        <v>8.56</v>
      </c>
      <c r="D11" s="92">
        <v>0.0</v>
      </c>
      <c r="E11" s="92">
        <v>0.0</v>
      </c>
      <c r="F11" s="92">
        <v>0.0</v>
      </c>
      <c r="G11" s="92">
        <v>0.0</v>
      </c>
      <c r="H11" s="92">
        <v>0.0</v>
      </c>
      <c r="I11" s="92">
        <v>0.0</v>
      </c>
      <c r="J11" s="92">
        <v>0.0</v>
      </c>
      <c r="K11" s="92">
        <v>0.0</v>
      </c>
      <c r="L11" s="92">
        <v>0.0</v>
      </c>
      <c r="M11" s="73">
        <f t="shared" si="3"/>
        <v>8.56</v>
      </c>
      <c r="N11" s="85" t="s">
        <v>77</v>
      </c>
      <c r="O11" s="88">
        <f>+SUM(L2:L32)</f>
        <v>2505.31</v>
      </c>
    </row>
    <row r="12">
      <c r="A12" s="70">
        <v>11.0</v>
      </c>
      <c r="B12" s="71">
        <v>45788.0</v>
      </c>
      <c r="C12" s="92">
        <f>4.05+15.41+8.56*2+14.63</f>
        <v>51.21</v>
      </c>
      <c r="D12" s="92">
        <v>0.0</v>
      </c>
      <c r="E12" s="92">
        <v>0.0</v>
      </c>
      <c r="F12" s="92">
        <v>0.0</v>
      </c>
      <c r="G12" s="92">
        <v>0.0</v>
      </c>
      <c r="H12" s="92">
        <v>0.0</v>
      </c>
      <c r="I12" s="92">
        <v>0.0</v>
      </c>
      <c r="J12" s="92">
        <v>0.0</v>
      </c>
      <c r="K12" s="92">
        <v>0.0</v>
      </c>
      <c r="L12" s="92">
        <v>0.0</v>
      </c>
      <c r="M12" s="73">
        <f t="shared" si="3"/>
        <v>51.21</v>
      </c>
      <c r="N12" s="85" t="s">
        <v>40</v>
      </c>
      <c r="O12" s="89">
        <f>sum(G2:G32)</f>
        <v>1432.25</v>
      </c>
    </row>
    <row r="13">
      <c r="A13" s="70">
        <v>12.0</v>
      </c>
      <c r="B13" s="71">
        <v>45789.0</v>
      </c>
      <c r="C13" s="92">
        <f>8.56*3+14.63+7.6+18.74+8.56*2+7.6+8.56+12.9</f>
        <v>112.83</v>
      </c>
      <c r="D13" s="92">
        <v>0.0</v>
      </c>
      <c r="E13" s="92">
        <v>0.0</v>
      </c>
      <c r="F13" s="92">
        <v>0.0</v>
      </c>
      <c r="G13" s="92">
        <v>0.0</v>
      </c>
      <c r="H13" s="92">
        <f>5666.5</f>
        <v>5666.5</v>
      </c>
      <c r="I13" s="92">
        <v>0.0</v>
      </c>
      <c r="J13" s="92">
        <v>0.0</v>
      </c>
      <c r="K13" s="92">
        <v>0.0</v>
      </c>
      <c r="L13" s="92">
        <v>0.0</v>
      </c>
      <c r="M13" s="73">
        <f t="shared" si="3"/>
        <v>5779.33</v>
      </c>
      <c r="N13" s="76" t="s">
        <v>45</v>
      </c>
      <c r="O13" s="90">
        <f>+SUM(C2:L32)</f>
        <v>36997.86</v>
      </c>
    </row>
    <row r="14">
      <c r="A14" s="70">
        <v>13.0</v>
      </c>
      <c r="B14" s="71">
        <v>45790.0</v>
      </c>
      <c r="C14" s="92">
        <f>8.56*2+4.05+12+126.94+18.74</f>
        <v>178.85</v>
      </c>
      <c r="D14" s="92">
        <v>0.0</v>
      </c>
      <c r="E14" s="92">
        <v>0.0</v>
      </c>
      <c r="F14" s="92">
        <v>0.0</v>
      </c>
      <c r="G14" s="92">
        <v>0.0</v>
      </c>
      <c r="H14" s="92">
        <f>969.34</f>
        <v>969.34</v>
      </c>
      <c r="I14" s="92">
        <v>0.0</v>
      </c>
      <c r="J14" s="92">
        <v>0.0</v>
      </c>
      <c r="K14" s="92">
        <v>0.0</v>
      </c>
      <c r="L14" s="92">
        <v>0.0</v>
      </c>
      <c r="M14" s="73">
        <f t="shared" si="3"/>
        <v>1148.19</v>
      </c>
      <c r="N14" s="34"/>
      <c r="O14" s="28"/>
    </row>
    <row r="15">
      <c r="A15" s="70">
        <v>14.0</v>
      </c>
      <c r="B15" s="71">
        <v>45791.0</v>
      </c>
      <c r="C15" s="92">
        <f>8.56+20.25+14.63+4.05+24+18.74+20.25+8.56+12.9+25.05</f>
        <v>156.99</v>
      </c>
      <c r="D15" s="92">
        <v>0.0</v>
      </c>
      <c r="E15" s="92">
        <v>0.0</v>
      </c>
      <c r="F15" s="92">
        <v>0.0</v>
      </c>
      <c r="G15" s="92">
        <v>0.0</v>
      </c>
      <c r="H15" s="92">
        <v>0.0</v>
      </c>
      <c r="I15" s="92">
        <v>0.0</v>
      </c>
      <c r="J15" s="92">
        <v>0.0</v>
      </c>
      <c r="K15" s="92">
        <v>0.0</v>
      </c>
      <c r="L15" s="92">
        <v>0.0</v>
      </c>
      <c r="M15" s="73">
        <f t="shared" si="3"/>
        <v>156.99</v>
      </c>
      <c r="N15" s="34"/>
      <c r="O15" s="34"/>
    </row>
    <row r="16">
      <c r="A16" s="70">
        <v>15.0</v>
      </c>
      <c r="B16" s="71">
        <v>45792.0</v>
      </c>
      <c r="C16" s="92">
        <f>85.9+12+7.6+8.56*3+7.6+12.9+24+7.6</f>
        <v>183.28</v>
      </c>
      <c r="D16" s="92">
        <v>0.0</v>
      </c>
      <c r="E16" s="92">
        <v>0.0</v>
      </c>
      <c r="F16" s="92">
        <f>15000</f>
        <v>15000</v>
      </c>
      <c r="G16" s="92">
        <v>0.0</v>
      </c>
      <c r="H16" s="92">
        <v>0.0</v>
      </c>
      <c r="I16" s="92">
        <v>0.0</v>
      </c>
      <c r="J16" s="92">
        <v>0.0</v>
      </c>
      <c r="K16" s="92">
        <v>0.0</v>
      </c>
      <c r="L16" s="92">
        <v>0.0</v>
      </c>
      <c r="M16" s="73">
        <f t="shared" si="3"/>
        <v>15183.28</v>
      </c>
      <c r="N16" s="34"/>
      <c r="O16" s="34"/>
    </row>
    <row r="17">
      <c r="A17" s="70">
        <v>16.0</v>
      </c>
      <c r="B17" s="71">
        <v>45793.0</v>
      </c>
      <c r="C17" s="92">
        <f>30.6+8.56*2+20.25+8.56+12+7.6+12+17.1+113.72+105</f>
        <v>343.95</v>
      </c>
      <c r="D17" s="92">
        <v>0.0</v>
      </c>
      <c r="E17" s="92">
        <v>0.0</v>
      </c>
      <c r="F17" s="92">
        <v>0.0</v>
      </c>
      <c r="G17" s="92">
        <v>0.0</v>
      </c>
      <c r="H17" s="92">
        <f>366</f>
        <v>366</v>
      </c>
      <c r="I17" s="92">
        <v>0.0</v>
      </c>
      <c r="J17" s="92">
        <v>0.0</v>
      </c>
      <c r="K17" s="92">
        <v>0.0</v>
      </c>
      <c r="L17" s="92">
        <v>0.0</v>
      </c>
      <c r="M17" s="73">
        <f t="shared" si="3"/>
        <v>709.95</v>
      </c>
      <c r="N17" s="34"/>
      <c r="O17" s="34"/>
    </row>
    <row r="18">
      <c r="A18" s="70">
        <v>17.0</v>
      </c>
      <c r="B18" s="71">
        <v>45794.0</v>
      </c>
      <c r="C18" s="92">
        <f>58.95+106.2+172.75+35+8.23+65.5+52+17.1</f>
        <v>515.73</v>
      </c>
      <c r="D18" s="92">
        <v>0.0</v>
      </c>
      <c r="E18" s="92">
        <v>0.0</v>
      </c>
      <c r="F18" s="92">
        <v>0.0</v>
      </c>
      <c r="G18" s="92">
        <v>0.0</v>
      </c>
      <c r="H18" s="92">
        <v>0.0</v>
      </c>
      <c r="I18" s="92">
        <v>0.0</v>
      </c>
      <c r="J18" s="92">
        <v>0.0</v>
      </c>
      <c r="K18" s="92">
        <v>0.0</v>
      </c>
      <c r="L18" s="92">
        <v>0.0</v>
      </c>
      <c r="M18" s="73">
        <f t="shared" si="3"/>
        <v>515.73</v>
      </c>
      <c r="N18" s="34"/>
      <c r="O18" s="34"/>
    </row>
    <row r="19">
      <c r="A19" s="70">
        <v>18.0</v>
      </c>
      <c r="B19" s="71">
        <v>45795.0</v>
      </c>
      <c r="C19" s="92">
        <f>52+63.85+12*4</f>
        <v>163.85</v>
      </c>
      <c r="D19" s="92">
        <v>0.0</v>
      </c>
      <c r="E19" s="92">
        <v>0.0</v>
      </c>
      <c r="F19" s="92">
        <v>0.0</v>
      </c>
      <c r="G19" s="92">
        <v>0.0</v>
      </c>
      <c r="H19" s="92">
        <v>0.0</v>
      </c>
      <c r="I19" s="92">
        <v>0.0</v>
      </c>
      <c r="J19" s="92">
        <v>0.0</v>
      </c>
      <c r="K19" s="92">
        <v>0.0</v>
      </c>
      <c r="L19" s="92">
        <v>0.0</v>
      </c>
      <c r="M19" s="73">
        <f t="shared" si="3"/>
        <v>163.85</v>
      </c>
      <c r="N19" s="34"/>
      <c r="O19" s="34"/>
    </row>
    <row r="20">
      <c r="A20" s="70">
        <v>19.0</v>
      </c>
      <c r="B20" s="71">
        <v>45796.0</v>
      </c>
      <c r="C20" s="92">
        <f>98.25+8.23*2+244.43+12*2+17.1*2+12+7.6+8.23+12</f>
        <v>457.17</v>
      </c>
      <c r="D20" s="92">
        <v>0.0</v>
      </c>
      <c r="E20" s="92">
        <v>0.0</v>
      </c>
      <c r="F20" s="92">
        <v>0.0</v>
      </c>
      <c r="G20" s="92">
        <v>0.0</v>
      </c>
      <c r="H20" s="92">
        <f>306</f>
        <v>306</v>
      </c>
      <c r="I20" s="92">
        <v>0.0</v>
      </c>
      <c r="J20" s="92">
        <v>0.0</v>
      </c>
      <c r="K20" s="92">
        <v>0.0</v>
      </c>
      <c r="L20" s="92">
        <v>0.0</v>
      </c>
      <c r="M20" s="73">
        <f t="shared" si="3"/>
        <v>763.17</v>
      </c>
      <c r="N20" s="34"/>
      <c r="O20" s="34"/>
    </row>
    <row r="21">
      <c r="A21" s="70">
        <v>20.0</v>
      </c>
      <c r="B21" s="71">
        <v>45797.0</v>
      </c>
      <c r="C21" s="92">
        <f>68.65+8.23+12+8.23+75</f>
        <v>172.11</v>
      </c>
      <c r="D21" s="92">
        <v>0.0</v>
      </c>
      <c r="E21" s="92">
        <v>0.0</v>
      </c>
      <c r="F21" s="92">
        <v>0.0</v>
      </c>
      <c r="G21" s="92">
        <v>0.0</v>
      </c>
      <c r="H21" s="92">
        <v>0.0</v>
      </c>
      <c r="I21" s="92">
        <v>0.0</v>
      </c>
      <c r="J21" s="92">
        <v>0.0</v>
      </c>
      <c r="K21" s="92">
        <v>0.0</v>
      </c>
      <c r="L21" s="92">
        <v>0.0</v>
      </c>
      <c r="M21" s="73">
        <f>SUMIF(D21:L21,"&lt;&gt;")</f>
        <v>0</v>
      </c>
      <c r="N21" s="34"/>
      <c r="O21" s="34"/>
    </row>
    <row r="22">
      <c r="A22" s="70">
        <v>21.0</v>
      </c>
      <c r="B22" s="71">
        <v>45798.0</v>
      </c>
      <c r="C22" s="92">
        <f>12+115+75+12+10.5+8.23*3+7.6+5</f>
        <v>261.79</v>
      </c>
      <c r="D22" s="92">
        <v>0.0</v>
      </c>
      <c r="E22" s="92">
        <v>0.0</v>
      </c>
      <c r="F22" s="92">
        <v>0.0</v>
      </c>
      <c r="G22" s="92">
        <v>0.0</v>
      </c>
      <c r="H22" s="92">
        <v>0.0</v>
      </c>
      <c r="I22" s="92">
        <v>0.0</v>
      </c>
      <c r="J22" s="92">
        <v>0.0</v>
      </c>
      <c r="K22" s="92">
        <v>0.0</v>
      </c>
      <c r="L22" s="92">
        <v>0.0</v>
      </c>
      <c r="M22" s="73">
        <f t="shared" ref="M22:M32" si="4">SUMIF(C22:L22,"&lt;&gt;")</f>
        <v>261.79</v>
      </c>
      <c r="N22" s="34"/>
      <c r="O22" s="34"/>
    </row>
    <row r="23">
      <c r="A23" s="70">
        <v>22.0</v>
      </c>
      <c r="B23" s="71">
        <v>45799.0</v>
      </c>
      <c r="C23" s="92">
        <f>82.3+30.6+20.25+12+8.23+8.23+7.6</f>
        <v>169.21</v>
      </c>
      <c r="D23" s="92">
        <v>0.0</v>
      </c>
      <c r="E23" s="92">
        <v>0.0</v>
      </c>
      <c r="F23" s="92">
        <v>0.0</v>
      </c>
      <c r="G23" s="92">
        <v>0.0</v>
      </c>
      <c r="H23" s="92">
        <v>0.0</v>
      </c>
      <c r="I23" s="92">
        <v>0.0</v>
      </c>
      <c r="J23" s="92">
        <v>0.0</v>
      </c>
      <c r="K23" s="92">
        <v>0.0</v>
      </c>
      <c r="L23" s="92">
        <v>0.0</v>
      </c>
      <c r="M23" s="73">
        <f t="shared" si="4"/>
        <v>169.21</v>
      </c>
      <c r="N23" s="34"/>
      <c r="O23" s="34"/>
    </row>
    <row r="24">
      <c r="A24" s="70">
        <v>23.0</v>
      </c>
      <c r="B24" s="71">
        <v>45800.0</v>
      </c>
      <c r="C24" s="92">
        <f>7*8.23</f>
        <v>57.61</v>
      </c>
      <c r="D24" s="92">
        <v>0.0</v>
      </c>
      <c r="E24" s="92">
        <v>0.0</v>
      </c>
      <c r="F24" s="92">
        <v>0.0</v>
      </c>
      <c r="G24" s="92">
        <v>0.0</v>
      </c>
      <c r="H24" s="92">
        <v>0.0</v>
      </c>
      <c r="I24" s="92">
        <v>0.0</v>
      </c>
      <c r="J24" s="92">
        <v>0.0</v>
      </c>
      <c r="K24" s="92">
        <v>0.0</v>
      </c>
      <c r="L24" s="92">
        <v>0.0</v>
      </c>
      <c r="M24" s="73">
        <f t="shared" si="4"/>
        <v>57.61</v>
      </c>
      <c r="N24" s="34"/>
      <c r="O24" s="34"/>
    </row>
    <row r="25">
      <c r="A25" s="70">
        <v>24.0</v>
      </c>
      <c r="B25" s="71">
        <v>45801.0</v>
      </c>
      <c r="C25" s="92">
        <f>219.5+12*3+8.23*4</f>
        <v>288.42</v>
      </c>
      <c r="D25" s="92">
        <v>0.0</v>
      </c>
      <c r="E25" s="92">
        <v>0.0</v>
      </c>
      <c r="F25" s="92">
        <v>0.0</v>
      </c>
      <c r="G25" s="92">
        <v>0.0</v>
      </c>
      <c r="H25" s="92">
        <v>0.0</v>
      </c>
      <c r="I25" s="92">
        <v>0.0</v>
      </c>
      <c r="J25" s="92">
        <v>0.0</v>
      </c>
      <c r="K25" s="92">
        <v>0.0</v>
      </c>
      <c r="L25" s="92">
        <v>0.0</v>
      </c>
      <c r="M25" s="73">
        <f t="shared" si="4"/>
        <v>288.42</v>
      </c>
      <c r="N25" s="34"/>
      <c r="O25" s="34"/>
    </row>
    <row r="26">
      <c r="A26" s="70">
        <v>25.0</v>
      </c>
      <c r="B26" s="71">
        <v>45802.0</v>
      </c>
      <c r="C26" s="92">
        <f>21.35+15.5+14.63+12+7.26*3</f>
        <v>85.26</v>
      </c>
      <c r="D26" s="92">
        <v>0.0</v>
      </c>
      <c r="E26" s="92">
        <v>0.0</v>
      </c>
      <c r="F26" s="92">
        <v>0.0</v>
      </c>
      <c r="G26" s="92">
        <v>0.0</v>
      </c>
      <c r="H26" s="92">
        <v>0.0</v>
      </c>
      <c r="I26" s="92">
        <v>0.0</v>
      </c>
      <c r="J26" s="92">
        <v>0.0</v>
      </c>
      <c r="K26" s="92">
        <v>0.0</v>
      </c>
      <c r="L26" s="92">
        <v>0.0</v>
      </c>
      <c r="M26" s="73">
        <f t="shared" si="4"/>
        <v>85.26</v>
      </c>
      <c r="N26" s="34"/>
      <c r="O26" s="34"/>
    </row>
    <row r="27">
      <c r="A27" s="70">
        <v>26.0</v>
      </c>
      <c r="B27" s="71">
        <v>45803.0</v>
      </c>
      <c r="C27" s="92">
        <f>20.25+7.26*2</f>
        <v>34.77</v>
      </c>
      <c r="D27" s="92">
        <v>0.0</v>
      </c>
      <c r="E27" s="92">
        <v>0.0</v>
      </c>
      <c r="F27" s="92">
        <v>0.0</v>
      </c>
      <c r="G27" s="92">
        <v>0.0</v>
      </c>
      <c r="H27" s="92">
        <v>0.0</v>
      </c>
      <c r="I27" s="92">
        <v>0.0</v>
      </c>
      <c r="J27" s="92">
        <v>0.0</v>
      </c>
      <c r="K27" s="92">
        <v>0.0</v>
      </c>
      <c r="L27" s="92">
        <f>574</f>
        <v>574</v>
      </c>
      <c r="M27" s="73">
        <f t="shared" si="4"/>
        <v>608.77</v>
      </c>
      <c r="N27" s="34"/>
      <c r="O27" s="34"/>
    </row>
    <row r="28">
      <c r="A28" s="70">
        <v>27.0</v>
      </c>
      <c r="B28" s="71">
        <v>45804.0</v>
      </c>
      <c r="C28" s="92">
        <f>70+7.6*2+7.26*6</f>
        <v>128.76</v>
      </c>
      <c r="D28" s="92">
        <v>0.0</v>
      </c>
      <c r="E28" s="92">
        <v>0.0</v>
      </c>
      <c r="F28" s="92">
        <v>0.0</v>
      </c>
      <c r="G28" s="92">
        <v>0.0</v>
      </c>
      <c r="H28" s="92">
        <v>0.0</v>
      </c>
      <c r="I28" s="92">
        <v>0.0</v>
      </c>
      <c r="J28" s="92">
        <v>0.0</v>
      </c>
      <c r="K28" s="92">
        <v>0.0</v>
      </c>
      <c r="L28" s="92">
        <v>0.0</v>
      </c>
      <c r="M28" s="73">
        <f t="shared" si="4"/>
        <v>128.76</v>
      </c>
      <c r="N28" s="34"/>
      <c r="O28" s="34"/>
    </row>
    <row r="29">
      <c r="A29" s="70">
        <v>28.0</v>
      </c>
      <c r="B29" s="71">
        <v>45805.0</v>
      </c>
      <c r="C29" s="92">
        <f>96+44+127.6+7.26</f>
        <v>274.86</v>
      </c>
      <c r="D29" s="92">
        <v>0.0</v>
      </c>
      <c r="E29" s="92">
        <v>0.0</v>
      </c>
      <c r="F29" s="92">
        <v>0.0</v>
      </c>
      <c r="G29" s="92">
        <v>0.0</v>
      </c>
      <c r="H29" s="92">
        <v>0.0</v>
      </c>
      <c r="I29" s="92">
        <v>0.0</v>
      </c>
      <c r="J29" s="92">
        <v>0.0</v>
      </c>
      <c r="K29" s="92">
        <v>0.0</v>
      </c>
      <c r="L29" s="92">
        <v>0.0</v>
      </c>
      <c r="M29" s="73">
        <f t="shared" si="4"/>
        <v>274.86</v>
      </c>
      <c r="N29" s="34"/>
      <c r="O29" s="34"/>
    </row>
    <row r="30">
      <c r="A30" s="2">
        <v>29.0</v>
      </c>
      <c r="B30" s="91">
        <v>45806.0</v>
      </c>
      <c r="C30" s="92">
        <f>86.32+69.95*2+30.6*2+7.6*2+7.26*2</f>
        <v>317.14</v>
      </c>
      <c r="D30" s="92">
        <v>0.0</v>
      </c>
      <c r="E30" s="92">
        <v>0.0</v>
      </c>
      <c r="F30" s="92">
        <v>0.0</v>
      </c>
      <c r="G30" s="92">
        <v>0.0</v>
      </c>
      <c r="H30" s="92">
        <v>0.0</v>
      </c>
      <c r="I30" s="92">
        <v>0.0</v>
      </c>
      <c r="J30" s="92">
        <v>0.0</v>
      </c>
      <c r="K30" s="92">
        <v>0.0</v>
      </c>
      <c r="L30" s="92">
        <v>0.0</v>
      </c>
      <c r="M30" s="73">
        <f t="shared" si="4"/>
        <v>317.14</v>
      </c>
    </row>
    <row r="31">
      <c r="A31" s="2">
        <v>30.0</v>
      </c>
      <c r="B31" s="91">
        <v>45807.0</v>
      </c>
      <c r="C31" s="95">
        <f>103+60+48.62+14.63+12+7.6*2+7.26*2</f>
        <v>267.97</v>
      </c>
      <c r="D31" s="95">
        <v>0.0</v>
      </c>
      <c r="E31" s="95">
        <v>0.0</v>
      </c>
      <c r="F31" s="95">
        <v>0.0</v>
      </c>
      <c r="G31" s="95">
        <v>0.0</v>
      </c>
      <c r="H31" s="95">
        <v>0.0</v>
      </c>
      <c r="I31" s="95">
        <v>0.0</v>
      </c>
      <c r="J31" s="95">
        <v>0.0</v>
      </c>
      <c r="K31" s="95">
        <v>0.0</v>
      </c>
      <c r="L31" s="95">
        <v>0.0</v>
      </c>
      <c r="M31" s="96">
        <f t="shared" si="4"/>
        <v>267.97</v>
      </c>
    </row>
    <row r="32">
      <c r="A32" s="2">
        <v>31.0</v>
      </c>
      <c r="B32" s="91">
        <v>45808.0</v>
      </c>
      <c r="C32" s="95">
        <f>25.05+14.63+12+12</f>
        <v>63.68</v>
      </c>
      <c r="D32" s="95">
        <v>0.0</v>
      </c>
      <c r="E32" s="95">
        <v>0.0</v>
      </c>
      <c r="F32" s="95">
        <v>0.0</v>
      </c>
      <c r="G32" s="95">
        <v>0.0</v>
      </c>
      <c r="H32" s="95">
        <v>0.0</v>
      </c>
      <c r="I32" s="95">
        <v>0.0</v>
      </c>
      <c r="J32" s="95">
        <v>0.0</v>
      </c>
      <c r="K32" s="95">
        <v>0.0</v>
      </c>
      <c r="L32" s="95">
        <v>0.0</v>
      </c>
      <c r="M32" s="96">
        <f t="shared" si="4"/>
        <v>63.68</v>
      </c>
    </row>
  </sheetData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/>
      <c r="B1" s="65" t="s">
        <v>60</v>
      </c>
      <c r="C1" s="66" t="s">
        <v>34</v>
      </c>
      <c r="D1" s="67" t="s">
        <v>35</v>
      </c>
      <c r="E1" s="68" t="s">
        <v>61</v>
      </c>
      <c r="F1" s="68" t="s">
        <v>62</v>
      </c>
      <c r="G1" s="68" t="s">
        <v>40</v>
      </c>
      <c r="H1" s="68" t="s">
        <v>36</v>
      </c>
      <c r="I1" s="68" t="s">
        <v>63</v>
      </c>
      <c r="J1" s="68" t="s">
        <v>64</v>
      </c>
      <c r="K1" s="68" t="s">
        <v>65</v>
      </c>
      <c r="L1" s="68" t="s">
        <v>66</v>
      </c>
      <c r="M1" s="69" t="s">
        <v>67</v>
      </c>
      <c r="N1" s="34"/>
      <c r="O1" s="34"/>
    </row>
    <row r="2">
      <c r="A2" s="70">
        <v>1.0</v>
      </c>
      <c r="B2" s="71">
        <v>45809.0</v>
      </c>
      <c r="C2" s="92">
        <f>63+39.16+12+7.6*2+7.26*3</f>
        <v>151.14</v>
      </c>
      <c r="D2" s="92">
        <v>0.0</v>
      </c>
      <c r="E2" s="92">
        <v>0.0</v>
      </c>
      <c r="F2" s="92">
        <v>0.0</v>
      </c>
      <c r="G2" s="92">
        <v>0.0</v>
      </c>
      <c r="H2" s="92">
        <v>0.0</v>
      </c>
      <c r="I2" s="92">
        <v>0.0</v>
      </c>
      <c r="J2" s="92">
        <v>0.0</v>
      </c>
      <c r="K2" s="92">
        <v>0.0</v>
      </c>
      <c r="L2" s="92">
        <f>82</f>
        <v>82</v>
      </c>
      <c r="M2" s="73">
        <f>SUMIF(C2:L2,"&lt;&gt;")</f>
        <v>233.14</v>
      </c>
      <c r="N2" s="74" t="s">
        <v>68</v>
      </c>
      <c r="O2" s="75">
        <f>+SUM(C2:C31,D2:D31)/ COUNTIFS(C2:C31, "&lt;&gt;", D2:D31, "&lt;&gt;")</f>
        <v>731.7926667</v>
      </c>
    </row>
    <row r="3">
      <c r="A3" s="70">
        <v>2.0</v>
      </c>
      <c r="B3" s="71">
        <v>45810.0</v>
      </c>
      <c r="C3" s="92">
        <f>71.23+30.6+20.25+12+12+7.88+7.26</f>
        <v>161.22</v>
      </c>
      <c r="D3" s="92">
        <v>0.0</v>
      </c>
      <c r="E3" s="92">
        <v>0.0</v>
      </c>
      <c r="F3" s="92">
        <v>0.0</v>
      </c>
      <c r="G3" s="92">
        <v>0.0</v>
      </c>
      <c r="H3" s="92">
        <f>406.31</f>
        <v>406.31</v>
      </c>
      <c r="I3" s="92">
        <f>24.99</f>
        <v>24.99</v>
      </c>
      <c r="J3" s="92">
        <v>0.0</v>
      </c>
      <c r="K3" s="92">
        <v>0.0</v>
      </c>
      <c r="L3" s="92">
        <v>0.0</v>
      </c>
      <c r="M3" s="73">
        <f>SUMIF(C3:K3,"&lt;&gt;")</f>
        <v>592.52</v>
      </c>
      <c r="N3" s="76" t="s">
        <v>69</v>
      </c>
      <c r="O3" s="77">
        <f>+O13 / COUNTIF(C2:C31, "&lt;&gt;")</f>
        <v>2991.078667</v>
      </c>
    </row>
    <row r="4">
      <c r="A4" s="70">
        <v>3.0</v>
      </c>
      <c r="B4" s="71">
        <v>45811.0</v>
      </c>
      <c r="C4" s="92">
        <f>103.93+12+7.26+12+7.26*2+12+7.26+12+7.6+24+46.81</f>
        <v>259.38</v>
      </c>
      <c r="D4" s="92">
        <v>0.0</v>
      </c>
      <c r="E4" s="92">
        <v>0.0</v>
      </c>
      <c r="F4" s="92">
        <v>0.0</v>
      </c>
      <c r="G4" s="92">
        <v>0.0</v>
      </c>
      <c r="H4" s="92">
        <v>0.0</v>
      </c>
      <c r="I4" s="92">
        <f>18.99</f>
        <v>18.99</v>
      </c>
      <c r="J4" s="92">
        <v>0.0</v>
      </c>
      <c r="K4" s="92">
        <v>0.0</v>
      </c>
      <c r="L4" s="92">
        <v>0.0</v>
      </c>
      <c r="M4" s="73">
        <f t="shared" ref="M4:M6" si="1">SUMIF(C4:L4,"&lt;&gt;")</f>
        <v>278.37</v>
      </c>
      <c r="N4" s="74" t="s">
        <v>70</v>
      </c>
      <c r="O4" s="78">
        <f>+SUM(C2:C31)</f>
        <v>2016.34</v>
      </c>
    </row>
    <row r="5">
      <c r="A5" s="70">
        <v>4.0</v>
      </c>
      <c r="B5" s="71">
        <v>45812.0</v>
      </c>
      <c r="C5" s="92">
        <f>80+7.6+12+7.6</f>
        <v>107.2</v>
      </c>
      <c r="D5" s="92">
        <f>190+1160</f>
        <v>1350</v>
      </c>
      <c r="E5" s="92">
        <v>0.0</v>
      </c>
      <c r="F5" s="92">
        <v>0.0</v>
      </c>
      <c r="G5" s="92">
        <v>0.0</v>
      </c>
      <c r="H5" s="92">
        <v>0.0</v>
      </c>
      <c r="I5" s="92">
        <v>0.0</v>
      </c>
      <c r="J5" s="92">
        <v>0.0</v>
      </c>
      <c r="K5" s="92">
        <v>0.0</v>
      </c>
      <c r="L5" s="92">
        <f>600</f>
        <v>600</v>
      </c>
      <c r="M5" s="73">
        <f t="shared" si="1"/>
        <v>2057.2</v>
      </c>
      <c r="N5" s="79" t="s">
        <v>71</v>
      </c>
      <c r="O5" s="80">
        <f>+SUM(D2:D31)</f>
        <v>19937.44</v>
      </c>
    </row>
    <row r="6">
      <c r="A6" s="70">
        <v>5.0</v>
      </c>
      <c r="B6" s="71">
        <v>45813.0</v>
      </c>
      <c r="C6" s="92">
        <f>85</f>
        <v>85</v>
      </c>
      <c r="D6" s="92">
        <v>0.0</v>
      </c>
      <c r="E6" s="92">
        <v>0.0</v>
      </c>
      <c r="F6" s="92">
        <v>0.0</v>
      </c>
      <c r="G6" s="92">
        <v>0.0</v>
      </c>
      <c r="H6" s="92">
        <v>0.0</v>
      </c>
      <c r="I6" s="92">
        <f>49.9</f>
        <v>49.9</v>
      </c>
      <c r="J6" s="92">
        <v>0.0</v>
      </c>
      <c r="K6" s="92">
        <v>0.0</v>
      </c>
      <c r="L6" s="92">
        <v>0.0</v>
      </c>
      <c r="M6" s="73">
        <f t="shared" si="1"/>
        <v>134.9</v>
      </c>
      <c r="N6" s="79" t="s">
        <v>72</v>
      </c>
      <c r="O6" s="81">
        <f>SUM(J2:J31)</f>
        <v>0</v>
      </c>
    </row>
    <row r="7">
      <c r="A7" s="70">
        <v>6.0</v>
      </c>
      <c r="B7" s="71">
        <v>45814.0</v>
      </c>
      <c r="C7" s="92">
        <f>75+90</f>
        <v>165</v>
      </c>
      <c r="D7" s="92">
        <v>0.0</v>
      </c>
      <c r="E7" s="92">
        <v>0.0</v>
      </c>
      <c r="F7" s="92">
        <v>0.0</v>
      </c>
      <c r="G7" s="92">
        <f>92.43+175+504.9+210+671.5</f>
        <v>1653.83</v>
      </c>
      <c r="H7" s="92">
        <v>0.0</v>
      </c>
      <c r="I7" s="92">
        <v>0.0</v>
      </c>
      <c r="J7" s="92">
        <v>0.0</v>
      </c>
      <c r="K7" s="92">
        <v>0.0</v>
      </c>
      <c r="L7" s="92">
        <v>0.0</v>
      </c>
      <c r="M7" s="73">
        <f t="shared" ref="M7:M8" si="2">SUMIF(C7:K7,"&lt;&gt;")</f>
        <v>1818.83</v>
      </c>
      <c r="N7" s="79" t="s">
        <v>73</v>
      </c>
      <c r="O7" s="82">
        <f>SUM(K2:K31)</f>
        <v>0</v>
      </c>
    </row>
    <row r="8">
      <c r="A8" s="70">
        <v>7.0</v>
      </c>
      <c r="B8" s="71">
        <v>45815.0</v>
      </c>
      <c r="C8" s="92">
        <v>0.0</v>
      </c>
      <c r="D8" s="92">
        <v>0.0</v>
      </c>
      <c r="E8" s="92">
        <v>0.0</v>
      </c>
      <c r="F8" s="92">
        <v>0.0</v>
      </c>
      <c r="G8" s="92">
        <v>0.0</v>
      </c>
      <c r="H8" s="92">
        <v>0.0</v>
      </c>
      <c r="I8" s="92">
        <v>0.0</v>
      </c>
      <c r="J8" s="92">
        <v>0.0</v>
      </c>
      <c r="K8" s="92">
        <v>0.0</v>
      </c>
      <c r="L8" s="92">
        <v>0.0</v>
      </c>
      <c r="M8" s="73">
        <f t="shared" si="2"/>
        <v>0</v>
      </c>
      <c r="N8" s="83" t="s">
        <v>74</v>
      </c>
      <c r="O8" s="84">
        <f>+SUM(E2:E31)</f>
        <v>4761.25</v>
      </c>
    </row>
    <row r="9">
      <c r="A9" s="70">
        <v>8.0</v>
      </c>
      <c r="B9" s="71">
        <v>45816.0</v>
      </c>
      <c r="C9" s="92">
        <f>37</f>
        <v>37</v>
      </c>
      <c r="D9" s="92">
        <f>234</f>
        <v>234</v>
      </c>
      <c r="E9" s="92">
        <v>0.0</v>
      </c>
      <c r="F9" s="92">
        <v>0.0</v>
      </c>
      <c r="G9" s="92">
        <v>0.0</v>
      </c>
      <c r="H9" s="92">
        <v>0.0</v>
      </c>
      <c r="I9" s="92">
        <v>0.0</v>
      </c>
      <c r="J9" s="92">
        <v>0.0</v>
      </c>
      <c r="K9" s="92">
        <v>0.0</v>
      </c>
      <c r="L9" s="92">
        <v>0.0</v>
      </c>
      <c r="M9" s="73">
        <f t="shared" ref="M9:M20" si="3">SUMIF(C9:L9,"&lt;&gt;")</f>
        <v>271</v>
      </c>
      <c r="N9" s="85" t="s">
        <v>75</v>
      </c>
      <c r="O9" s="86">
        <f>Sum(H2:H31)</f>
        <v>15647.5</v>
      </c>
    </row>
    <row r="10">
      <c r="A10" s="70">
        <v>9.0</v>
      </c>
      <c r="B10" s="71">
        <v>45817.0</v>
      </c>
      <c r="C10" s="92">
        <v>0.0</v>
      </c>
      <c r="D10" s="92">
        <v>0.0</v>
      </c>
      <c r="E10" s="92">
        <f>780+700</f>
        <v>1480</v>
      </c>
      <c r="F10" s="92">
        <v>0.0</v>
      </c>
      <c r="G10" s="92">
        <v>0.0</v>
      </c>
      <c r="H10" s="92">
        <v>0.0</v>
      </c>
      <c r="I10" s="92">
        <v>0.0</v>
      </c>
      <c r="J10" s="92">
        <v>0.0</v>
      </c>
      <c r="K10" s="92">
        <v>0.0</v>
      </c>
      <c r="L10" s="92">
        <v>0.0</v>
      </c>
      <c r="M10" s="73">
        <f t="shared" si="3"/>
        <v>1480</v>
      </c>
      <c r="N10" s="85" t="s">
        <v>76</v>
      </c>
      <c r="O10" s="87">
        <f>SUM(I2:I31)</f>
        <v>93.88</v>
      </c>
    </row>
    <row r="11">
      <c r="A11" s="70">
        <v>10.0</v>
      </c>
      <c r="B11" s="71">
        <v>45818.0</v>
      </c>
      <c r="C11" s="92">
        <f>349.25</f>
        <v>349.25</v>
      </c>
      <c r="D11" s="92">
        <v>0.0</v>
      </c>
      <c r="E11" s="92">
        <v>0.0</v>
      </c>
      <c r="F11" s="92">
        <v>0.0</v>
      </c>
      <c r="G11" s="92">
        <f>854.48</f>
        <v>854.48</v>
      </c>
      <c r="H11" s="92">
        <f>470+536</f>
        <v>1006</v>
      </c>
      <c r="I11" s="92">
        <v>0.0</v>
      </c>
      <c r="J11" s="92">
        <v>0.0</v>
      </c>
      <c r="K11" s="92">
        <v>0.0</v>
      </c>
      <c r="L11" s="92">
        <v>0.0</v>
      </c>
      <c r="M11" s="73">
        <f t="shared" si="3"/>
        <v>2209.73</v>
      </c>
      <c r="N11" s="85" t="s">
        <v>77</v>
      </c>
      <c r="O11" s="88">
        <f>+SUM(L2:L31)</f>
        <v>29767.64</v>
      </c>
    </row>
    <row r="12">
      <c r="A12" s="70">
        <v>11.0</v>
      </c>
      <c r="B12" s="71">
        <v>45819.0</v>
      </c>
      <c r="C12" s="92">
        <v>0.0</v>
      </c>
      <c r="D12" s="92">
        <f>460</f>
        <v>460</v>
      </c>
      <c r="E12" s="92">
        <v>0.0</v>
      </c>
      <c r="F12" s="92">
        <v>0.0</v>
      </c>
      <c r="G12" s="92">
        <v>0.0</v>
      </c>
      <c r="H12" s="92">
        <v>0.0</v>
      </c>
      <c r="I12" s="92">
        <v>0.0</v>
      </c>
      <c r="J12" s="92">
        <v>0.0</v>
      </c>
      <c r="K12" s="92">
        <v>0.0</v>
      </c>
      <c r="L12" s="92">
        <f>30</f>
        <v>30</v>
      </c>
      <c r="M12" s="73">
        <f t="shared" si="3"/>
        <v>490</v>
      </c>
      <c r="N12" s="85" t="s">
        <v>40</v>
      </c>
      <c r="O12" s="89">
        <f>sum(G2:G31)</f>
        <v>2508.31</v>
      </c>
    </row>
    <row r="13">
      <c r="A13" s="70">
        <v>12.0</v>
      </c>
      <c r="B13" s="71">
        <v>45820.0</v>
      </c>
      <c r="C13" s="92">
        <f>85</f>
        <v>85</v>
      </c>
      <c r="D13" s="92">
        <v>0.0</v>
      </c>
      <c r="E13" s="92">
        <v>0.0</v>
      </c>
      <c r="F13" s="92">
        <v>0.0</v>
      </c>
      <c r="G13" s="92">
        <v>0.0</v>
      </c>
      <c r="H13" s="92">
        <f>5666.5</f>
        <v>5666.5</v>
      </c>
      <c r="I13" s="92">
        <v>0.0</v>
      </c>
      <c r="J13" s="92">
        <v>0.0</v>
      </c>
      <c r="K13" s="92">
        <v>0.0</v>
      </c>
      <c r="L13" s="92">
        <v>0.0</v>
      </c>
      <c r="M13" s="73">
        <f t="shared" si="3"/>
        <v>5751.5</v>
      </c>
      <c r="N13" s="76" t="s">
        <v>45</v>
      </c>
      <c r="O13" s="90">
        <f>+SUM(C2:L31)</f>
        <v>89732.36</v>
      </c>
    </row>
    <row r="14">
      <c r="A14" s="70">
        <v>13.0</v>
      </c>
      <c r="B14" s="71">
        <v>45821.0</v>
      </c>
      <c r="C14" s="92">
        <f>69</f>
        <v>69</v>
      </c>
      <c r="D14" s="92">
        <f>280.5</f>
        <v>280.5</v>
      </c>
      <c r="E14" s="92">
        <v>0.0</v>
      </c>
      <c r="F14" s="92">
        <v>0.0</v>
      </c>
      <c r="G14" s="92">
        <v>0.0</v>
      </c>
      <c r="H14" s="92">
        <f>969.34</f>
        <v>969.34</v>
      </c>
      <c r="I14" s="92">
        <v>0.0</v>
      </c>
      <c r="J14" s="92">
        <v>0.0</v>
      </c>
      <c r="K14" s="92">
        <v>0.0</v>
      </c>
      <c r="L14" s="92">
        <f>170</f>
        <v>170</v>
      </c>
      <c r="M14" s="73">
        <f t="shared" si="3"/>
        <v>1488.84</v>
      </c>
      <c r="N14" s="34"/>
      <c r="O14" s="28"/>
    </row>
    <row r="15">
      <c r="A15" s="70">
        <v>14.0</v>
      </c>
      <c r="B15" s="71">
        <v>45822.0</v>
      </c>
      <c r="C15" s="92">
        <v>0.0</v>
      </c>
      <c r="D15" s="92">
        <v>0.0</v>
      </c>
      <c r="E15" s="92">
        <v>0.0</v>
      </c>
      <c r="F15" s="92">
        <v>0.0</v>
      </c>
      <c r="G15" s="92">
        <v>0.0</v>
      </c>
      <c r="H15" s="92">
        <v>0.0</v>
      </c>
      <c r="I15" s="92">
        <v>0.0</v>
      </c>
      <c r="J15" s="92">
        <v>0.0</v>
      </c>
      <c r="K15" s="92">
        <v>0.0</v>
      </c>
      <c r="L15" s="92">
        <v>0.0</v>
      </c>
      <c r="M15" s="73">
        <f t="shared" si="3"/>
        <v>0</v>
      </c>
      <c r="N15" s="34"/>
      <c r="O15" s="34"/>
    </row>
    <row r="16">
      <c r="A16" s="70">
        <v>15.0</v>
      </c>
      <c r="B16" s="71">
        <v>45823.0</v>
      </c>
      <c r="C16" s="92">
        <f>35+24.95</f>
        <v>59.95</v>
      </c>
      <c r="D16" s="92">
        <f>595</f>
        <v>595</v>
      </c>
      <c r="E16" s="92">
        <v>0.0</v>
      </c>
      <c r="F16" s="92">
        <v>0.0</v>
      </c>
      <c r="G16" s="92">
        <v>0.0</v>
      </c>
      <c r="H16" s="92">
        <v>0.0</v>
      </c>
      <c r="I16" s="92">
        <v>0.0</v>
      </c>
      <c r="J16" s="92">
        <v>0.0</v>
      </c>
      <c r="K16" s="92">
        <v>0.0</v>
      </c>
      <c r="L16" s="92">
        <v>0.0</v>
      </c>
      <c r="M16" s="73">
        <f t="shared" si="3"/>
        <v>654.95</v>
      </c>
      <c r="N16" s="34"/>
      <c r="O16" s="34"/>
    </row>
    <row r="17">
      <c r="A17" s="70">
        <v>16.0</v>
      </c>
      <c r="B17" s="71">
        <v>45824.0</v>
      </c>
      <c r="C17" s="92">
        <f>108.75</f>
        <v>108.75</v>
      </c>
      <c r="D17" s="92">
        <f>590</f>
        <v>590</v>
      </c>
      <c r="E17" s="92">
        <v>0.0</v>
      </c>
      <c r="F17" s="92">
        <v>0.0</v>
      </c>
      <c r="G17" s="92">
        <v>0.0</v>
      </c>
      <c r="H17" s="92">
        <v>0.0</v>
      </c>
      <c r="I17" s="92">
        <v>0.0</v>
      </c>
      <c r="J17" s="92">
        <v>0.0</v>
      </c>
      <c r="K17" s="92">
        <v>0.0</v>
      </c>
      <c r="L17" s="92">
        <f>256.79</f>
        <v>256.79</v>
      </c>
      <c r="M17" s="73">
        <f t="shared" si="3"/>
        <v>955.54</v>
      </c>
      <c r="N17" s="34"/>
      <c r="O17" s="34"/>
    </row>
    <row r="18">
      <c r="A18" s="70">
        <v>17.0</v>
      </c>
      <c r="B18" s="71">
        <v>45825.0</v>
      </c>
      <c r="C18" s="92">
        <f>20</f>
        <v>20</v>
      </c>
      <c r="D18" s="92">
        <v>0.0</v>
      </c>
      <c r="E18" s="92">
        <v>0.0</v>
      </c>
      <c r="F18" s="92">
        <f>15000</f>
        <v>15000</v>
      </c>
      <c r="G18" s="92">
        <v>0.0</v>
      </c>
      <c r="H18" s="92">
        <v>0.0</v>
      </c>
      <c r="I18" s="92">
        <v>0.0</v>
      </c>
      <c r="J18" s="92">
        <v>0.0</v>
      </c>
      <c r="K18" s="92">
        <v>0.0</v>
      </c>
      <c r="L18" s="92">
        <v>0.0</v>
      </c>
      <c r="M18" s="73">
        <f t="shared" si="3"/>
        <v>15020</v>
      </c>
      <c r="N18" s="34"/>
      <c r="O18" s="34"/>
    </row>
    <row r="19">
      <c r="A19" s="70">
        <v>18.0</v>
      </c>
      <c r="B19" s="71">
        <v>45826.0</v>
      </c>
      <c r="C19" s="92">
        <f>113</f>
        <v>113</v>
      </c>
      <c r="D19" s="92">
        <f>740</f>
        <v>740</v>
      </c>
      <c r="E19" s="92">
        <v>0.0</v>
      </c>
      <c r="F19" s="92">
        <v>0.0</v>
      </c>
      <c r="G19" s="92">
        <v>0.0</v>
      </c>
      <c r="H19" s="92">
        <f>949.5</f>
        <v>949.5</v>
      </c>
      <c r="I19" s="92">
        <v>0.0</v>
      </c>
      <c r="J19" s="92">
        <v>0.0</v>
      </c>
      <c r="K19" s="92">
        <v>0.0</v>
      </c>
      <c r="L19" s="92">
        <v>0.0</v>
      </c>
      <c r="M19" s="73">
        <f t="shared" si="3"/>
        <v>1802.5</v>
      </c>
      <c r="N19" s="34"/>
      <c r="O19" s="34"/>
    </row>
    <row r="20">
      <c r="A20" s="70">
        <v>19.0</v>
      </c>
      <c r="B20" s="71">
        <v>45827.0</v>
      </c>
      <c r="C20" s="92">
        <f>25+100.45+25</f>
        <v>150.45</v>
      </c>
      <c r="D20" s="92">
        <v>0.0</v>
      </c>
      <c r="E20" s="92">
        <v>0.0</v>
      </c>
      <c r="F20" s="92">
        <v>0.0</v>
      </c>
      <c r="G20" s="92">
        <v>0.0</v>
      </c>
      <c r="H20" s="92">
        <v>0.0</v>
      </c>
      <c r="I20" s="92">
        <v>0.0</v>
      </c>
      <c r="J20" s="92">
        <v>0.0</v>
      </c>
      <c r="K20" s="92">
        <v>0.0</v>
      </c>
      <c r="L20" s="92">
        <v>0.0</v>
      </c>
      <c r="M20" s="73">
        <f t="shared" si="3"/>
        <v>150.45</v>
      </c>
      <c r="N20" s="34"/>
      <c r="O20" s="34"/>
    </row>
    <row r="21">
      <c r="A21" s="70">
        <v>20.0</v>
      </c>
      <c r="B21" s="71">
        <v>45828.0</v>
      </c>
      <c r="C21" s="92">
        <v>0.0</v>
      </c>
      <c r="D21" s="92">
        <v>0.0</v>
      </c>
      <c r="E21" s="92">
        <f>555</f>
        <v>555</v>
      </c>
      <c r="F21" s="92">
        <v>0.0</v>
      </c>
      <c r="G21" s="92">
        <v>0.0</v>
      </c>
      <c r="H21" s="92">
        <v>0.0</v>
      </c>
      <c r="I21" s="92">
        <v>0.0</v>
      </c>
      <c r="J21" s="92">
        <v>0.0</v>
      </c>
      <c r="K21" s="92">
        <v>0.0</v>
      </c>
      <c r="L21" s="92">
        <f>710</f>
        <v>710</v>
      </c>
      <c r="M21" s="73">
        <f>SUMIF(D21:L21,"&lt;&gt;")</f>
        <v>1265</v>
      </c>
      <c r="N21" s="34"/>
      <c r="O21" s="34"/>
    </row>
    <row r="22">
      <c r="A22" s="70">
        <v>21.0</v>
      </c>
      <c r="B22" s="71">
        <v>45829.0</v>
      </c>
      <c r="C22" s="92">
        <f>25+70</f>
        <v>95</v>
      </c>
      <c r="D22" s="92">
        <f>610</f>
        <v>610</v>
      </c>
      <c r="E22" s="92">
        <v>0.0</v>
      </c>
      <c r="F22" s="92">
        <v>0.0</v>
      </c>
      <c r="G22" s="92">
        <v>0.0</v>
      </c>
      <c r="H22" s="92">
        <f>6649.85</f>
        <v>6649.85</v>
      </c>
      <c r="I22" s="92">
        <v>0.0</v>
      </c>
      <c r="J22" s="92">
        <v>0.0</v>
      </c>
      <c r="K22" s="92">
        <v>0.0</v>
      </c>
      <c r="L22" s="92">
        <f>120</f>
        <v>120</v>
      </c>
      <c r="M22" s="73">
        <f t="shared" ref="M22:M31" si="4">SUMIF(C22:L22,"&lt;&gt;")</f>
        <v>7474.85</v>
      </c>
      <c r="N22" s="34"/>
      <c r="O22" s="34"/>
    </row>
    <row r="23">
      <c r="A23" s="70">
        <v>22.0</v>
      </c>
      <c r="B23" s="71">
        <v>45830.0</v>
      </c>
      <c r="C23" s="92">
        <v>0.0</v>
      </c>
      <c r="D23" s="92">
        <f>180</f>
        <v>180</v>
      </c>
      <c r="E23" s="92">
        <v>0.0</v>
      </c>
      <c r="F23" s="92">
        <v>0.0</v>
      </c>
      <c r="G23" s="92">
        <v>0.0</v>
      </c>
      <c r="H23" s="92">
        <v>0.0</v>
      </c>
      <c r="I23" s="92">
        <v>0.0</v>
      </c>
      <c r="J23" s="92">
        <v>0.0</v>
      </c>
      <c r="K23" s="92">
        <v>0.0</v>
      </c>
      <c r="L23" s="92">
        <f>664.93</f>
        <v>664.93</v>
      </c>
      <c r="M23" s="73">
        <f t="shared" si="4"/>
        <v>844.93</v>
      </c>
      <c r="N23" s="34"/>
      <c r="O23" s="34"/>
    </row>
    <row r="24">
      <c r="A24" s="70">
        <v>23.0</v>
      </c>
      <c r="B24" s="71">
        <v>45831.0</v>
      </c>
      <c r="C24" s="92">
        <v>0.0</v>
      </c>
      <c r="D24" s="92">
        <f>469.61+1252.93+732.75+567.28+261.32+296.1</f>
        <v>3579.99</v>
      </c>
      <c r="E24" s="92">
        <f>901.41+1075</f>
        <v>1976.41</v>
      </c>
      <c r="F24" s="92">
        <v>0.0</v>
      </c>
      <c r="G24" s="92">
        <v>0.0</v>
      </c>
      <c r="H24" s="92">
        <v>0.0</v>
      </c>
      <c r="I24" s="92">
        <v>0.0</v>
      </c>
      <c r="J24" s="92">
        <v>0.0</v>
      </c>
      <c r="K24" s="92">
        <v>0.0</v>
      </c>
      <c r="L24" s="92">
        <f>18851.53</f>
        <v>18851.53</v>
      </c>
      <c r="M24" s="73">
        <f t="shared" si="4"/>
        <v>24407.93</v>
      </c>
      <c r="N24" s="34"/>
      <c r="O24" s="34"/>
    </row>
    <row r="25">
      <c r="A25" s="70">
        <v>24.0</v>
      </c>
      <c r="B25" s="71">
        <v>45832.0</v>
      </c>
      <c r="C25" s="92">
        <v>0.0</v>
      </c>
      <c r="D25" s="92">
        <f>382.51+1308.57</f>
        <v>1691.08</v>
      </c>
      <c r="E25" s="92">
        <v>0.0</v>
      </c>
      <c r="F25" s="92">
        <v>0.0</v>
      </c>
      <c r="G25" s="92">
        <v>0.0</v>
      </c>
      <c r="H25" s="92">
        <v>0.0</v>
      </c>
      <c r="I25" s="92">
        <v>0.0</v>
      </c>
      <c r="J25" s="92">
        <v>0.0</v>
      </c>
      <c r="K25" s="92">
        <v>0.0</v>
      </c>
      <c r="L25" s="92">
        <f>4413.78</f>
        <v>4413.78</v>
      </c>
      <c r="M25" s="73">
        <f t="shared" si="4"/>
        <v>6104.86</v>
      </c>
      <c r="N25" s="34"/>
      <c r="O25" s="34"/>
    </row>
    <row r="26">
      <c r="A26" s="70">
        <v>25.0</v>
      </c>
      <c r="B26" s="71">
        <v>45833.0</v>
      </c>
      <c r="C26" s="92">
        <v>0.0</v>
      </c>
      <c r="D26" s="92">
        <v>0.0</v>
      </c>
      <c r="E26" s="92">
        <v>0.0</v>
      </c>
      <c r="F26" s="92">
        <v>0.0</v>
      </c>
      <c r="G26" s="92">
        <v>0.0</v>
      </c>
      <c r="H26" s="92">
        <v>0.0</v>
      </c>
      <c r="I26" s="92">
        <v>0.0</v>
      </c>
      <c r="J26" s="92">
        <v>0.0</v>
      </c>
      <c r="K26" s="92">
        <v>0.0</v>
      </c>
      <c r="L26" s="92">
        <v>0.0</v>
      </c>
      <c r="M26" s="73">
        <f t="shared" si="4"/>
        <v>0</v>
      </c>
      <c r="N26" s="34"/>
      <c r="O26" s="34"/>
    </row>
    <row r="27">
      <c r="A27" s="70">
        <v>26.0</v>
      </c>
      <c r="B27" s="71">
        <v>45834.0</v>
      </c>
      <c r="C27" s="92">
        <v>0.0</v>
      </c>
      <c r="D27" s="92">
        <f>863.85+287.92+86.37+64.58+719.81</f>
        <v>2022.53</v>
      </c>
      <c r="E27" s="92">
        <v>0.0</v>
      </c>
      <c r="F27" s="92">
        <v>0.0</v>
      </c>
      <c r="G27" s="92">
        <v>0.0</v>
      </c>
      <c r="H27" s="92">
        <v>0.0</v>
      </c>
      <c r="I27" s="92">
        <v>0.0</v>
      </c>
      <c r="J27" s="92">
        <v>0.0</v>
      </c>
      <c r="K27" s="92">
        <v>0.0</v>
      </c>
      <c r="L27" s="92">
        <f>1886.71</f>
        <v>1886.71</v>
      </c>
      <c r="M27" s="73">
        <f t="shared" si="4"/>
        <v>3909.24</v>
      </c>
      <c r="N27" s="34"/>
      <c r="O27" s="34"/>
    </row>
    <row r="28">
      <c r="A28" s="70">
        <v>27.0</v>
      </c>
      <c r="B28" s="71">
        <v>45835.0</v>
      </c>
      <c r="C28" s="92">
        <v>0.0</v>
      </c>
      <c r="D28" s="92">
        <f>744.5+478.41+531.47+68.69+429.87+719.88</f>
        <v>2972.82</v>
      </c>
      <c r="E28" s="92">
        <v>0.0</v>
      </c>
      <c r="F28" s="92">
        <v>0.0</v>
      </c>
      <c r="G28" s="92">
        <v>0.0</v>
      </c>
      <c r="H28" s="92">
        <v>0.0</v>
      </c>
      <c r="I28" s="92">
        <v>0.0</v>
      </c>
      <c r="J28" s="92">
        <v>0.0</v>
      </c>
      <c r="K28" s="92">
        <v>0.0</v>
      </c>
      <c r="L28" s="92">
        <f>483.34*3+193.34</f>
        <v>1643.36</v>
      </c>
      <c r="M28" s="73">
        <f t="shared" si="4"/>
        <v>4616.18</v>
      </c>
      <c r="N28" s="34"/>
      <c r="O28" s="34"/>
    </row>
    <row r="29">
      <c r="A29" s="70">
        <v>28.0</v>
      </c>
      <c r="B29" s="71">
        <v>45836.0</v>
      </c>
      <c r="C29" s="92">
        <v>0.0</v>
      </c>
      <c r="D29" s="92">
        <f>183.96+1112.31+33.73+783.23+33.73</f>
        <v>2146.96</v>
      </c>
      <c r="E29" s="92">
        <f>749.84</f>
        <v>749.84</v>
      </c>
      <c r="F29" s="92">
        <v>0.0</v>
      </c>
      <c r="G29" s="92">
        <v>0.0</v>
      </c>
      <c r="H29" s="92">
        <v>0.0</v>
      </c>
      <c r="I29" s="92">
        <v>0.0</v>
      </c>
      <c r="J29" s="92">
        <v>0.0</v>
      </c>
      <c r="K29" s="92">
        <v>0.0</v>
      </c>
      <c r="L29" s="92">
        <f>338.54</f>
        <v>338.54</v>
      </c>
      <c r="M29" s="73">
        <f t="shared" si="4"/>
        <v>3235.34</v>
      </c>
      <c r="N29" s="34"/>
      <c r="O29" s="34"/>
    </row>
    <row r="30">
      <c r="A30" s="2">
        <v>29.0</v>
      </c>
      <c r="B30" s="91">
        <v>45837.0</v>
      </c>
      <c r="C30" s="92">
        <v>0.0</v>
      </c>
      <c r="D30" s="92">
        <f>183.96+498.79+650.67+33.75+106.59+33.75*2+865.9</f>
        <v>2407.16</v>
      </c>
      <c r="E30" s="92">
        <v>0.0</v>
      </c>
      <c r="F30" s="92">
        <v>0.0</v>
      </c>
      <c r="G30" s="92">
        <v>0.0</v>
      </c>
      <c r="H30" s="92">
        <v>0.0</v>
      </c>
      <c r="I30" s="92">
        <v>0.0</v>
      </c>
      <c r="J30" s="92">
        <v>0.0</v>
      </c>
      <c r="K30" s="92">
        <v>0.0</v>
      </c>
      <c r="L30" s="92">
        <v>0.0</v>
      </c>
      <c r="M30" s="73">
        <f t="shared" si="4"/>
        <v>2407.16</v>
      </c>
    </row>
    <row r="31">
      <c r="A31" s="2">
        <v>30.0</v>
      </c>
      <c r="B31" s="91">
        <v>45838.0</v>
      </c>
      <c r="C31" s="95">
        <v>0.0</v>
      </c>
      <c r="D31" s="95">
        <f>77.4</f>
        <v>77.4</v>
      </c>
      <c r="E31" s="95">
        <v>0.0</v>
      </c>
      <c r="F31" s="95">
        <v>0.0</v>
      </c>
      <c r="G31" s="95">
        <v>0.0</v>
      </c>
      <c r="H31" s="95">
        <v>0.0</v>
      </c>
      <c r="I31" s="95">
        <v>0.0</v>
      </c>
      <c r="J31" s="95">
        <v>0.0</v>
      </c>
      <c r="K31" s="95">
        <v>0.0</v>
      </c>
      <c r="L31" s="95">
        <v>0.0</v>
      </c>
      <c r="M31" s="96">
        <f t="shared" si="4"/>
        <v>77.4</v>
      </c>
    </row>
  </sheetData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8" t="s">
        <v>38</v>
      </c>
      <c r="B1" s="97">
        <v>43060.0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98"/>
      <c r="N1" s="34"/>
      <c r="O1" s="34"/>
    </row>
    <row r="2">
      <c r="A2" s="28" t="s">
        <v>36</v>
      </c>
      <c r="B2" s="97">
        <v>17604.62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93"/>
      <c r="N2" s="99" t="s">
        <v>68</v>
      </c>
      <c r="O2" s="100"/>
    </row>
    <row r="3">
      <c r="A3" s="28" t="s">
        <v>33</v>
      </c>
      <c r="B3" s="97">
        <v>15483.65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93"/>
      <c r="N3" s="101" t="s">
        <v>69</v>
      </c>
      <c r="O3" s="100"/>
    </row>
    <row r="4">
      <c r="A4" s="28" t="s">
        <v>34</v>
      </c>
      <c r="B4" s="97">
        <v>11123.51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93"/>
      <c r="N4" s="99" t="s">
        <v>70</v>
      </c>
      <c r="O4" s="102"/>
    </row>
    <row r="5">
      <c r="A5" s="28" t="s">
        <v>39</v>
      </c>
      <c r="B5" s="97">
        <v>9894.0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93"/>
      <c r="N5" s="99" t="s">
        <v>71</v>
      </c>
      <c r="O5" s="102"/>
    </row>
    <row r="6">
      <c r="A6" s="28" t="s">
        <v>40</v>
      </c>
      <c r="B6" s="97">
        <v>2568.04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93"/>
      <c r="N6" s="99" t="s">
        <v>72</v>
      </c>
      <c r="O6" s="102"/>
    </row>
    <row r="7">
      <c r="A7" s="28" t="s">
        <v>41</v>
      </c>
      <c r="B7" s="97">
        <v>1584.5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93"/>
      <c r="N7" s="99" t="s">
        <v>73</v>
      </c>
      <c r="O7" s="102"/>
    </row>
    <row r="8">
      <c r="A8" s="28" t="s">
        <v>35</v>
      </c>
      <c r="B8" s="97">
        <v>1468.25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93"/>
      <c r="N8" s="103" t="s">
        <v>74</v>
      </c>
      <c r="O8" s="29"/>
    </row>
    <row r="9">
      <c r="A9" s="28" t="s">
        <v>37</v>
      </c>
      <c r="B9" s="97">
        <v>1445.99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93"/>
      <c r="N9" s="99" t="s">
        <v>75</v>
      </c>
      <c r="O9" s="29"/>
    </row>
    <row r="10">
      <c r="A10" s="28" t="s">
        <v>42</v>
      </c>
      <c r="B10" s="97">
        <v>627.48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93"/>
      <c r="N10" s="99" t="s">
        <v>76</v>
      </c>
      <c r="O10" s="29"/>
    </row>
    <row r="11">
      <c r="A11" s="28" t="s">
        <v>44</v>
      </c>
      <c r="B11" s="97">
        <v>93.88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93"/>
      <c r="N11" s="99" t="s">
        <v>77</v>
      </c>
      <c r="O11" s="29"/>
    </row>
    <row r="12">
      <c r="A12" s="32" t="s">
        <v>45</v>
      </c>
      <c r="B12" s="104">
        <f>SUM(B1:B11)</f>
        <v>104953.92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93"/>
      <c r="N12" s="99" t="s">
        <v>40</v>
      </c>
      <c r="O12" s="29"/>
    </row>
    <row r="13">
      <c r="A13" s="34"/>
      <c r="B13" s="35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93"/>
      <c r="N13" s="101" t="s">
        <v>45</v>
      </c>
      <c r="O13" s="102"/>
    </row>
    <row r="14">
      <c r="A14" s="34"/>
      <c r="B14" s="35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93"/>
      <c r="N14" s="34"/>
      <c r="O14" s="28"/>
    </row>
    <row r="15">
      <c r="A15" s="34"/>
      <c r="B15" s="35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93"/>
      <c r="N15" s="34"/>
      <c r="O15" s="34"/>
    </row>
    <row r="16">
      <c r="A16" s="34"/>
      <c r="B16" s="35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93"/>
      <c r="N16" s="34"/>
      <c r="O16" s="34"/>
    </row>
    <row r="17">
      <c r="A17" s="34"/>
      <c r="B17" s="35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93"/>
      <c r="N17" s="34"/>
      <c r="O17" s="34"/>
    </row>
    <row r="18">
      <c r="A18" s="34"/>
      <c r="B18" s="35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93"/>
      <c r="N18" s="34"/>
      <c r="O18" s="34"/>
    </row>
    <row r="19">
      <c r="A19" s="34"/>
      <c r="B19" s="35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93"/>
      <c r="N19" s="34"/>
      <c r="O19" s="34"/>
    </row>
    <row r="20">
      <c r="A20" s="34"/>
      <c r="B20" s="35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93"/>
      <c r="N20" s="34"/>
      <c r="O20" s="34"/>
    </row>
    <row r="21">
      <c r="A21" s="34"/>
      <c r="B21" s="35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93"/>
      <c r="N21" s="34"/>
      <c r="O21" s="34"/>
    </row>
    <row r="22">
      <c r="A22" s="34"/>
      <c r="B22" s="3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93"/>
      <c r="N22" s="34"/>
      <c r="O22" s="34"/>
    </row>
    <row r="23">
      <c r="A23" s="34"/>
      <c r="B23" s="3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93"/>
      <c r="N23" s="34"/>
      <c r="O23" s="34"/>
    </row>
    <row r="24">
      <c r="A24" s="34"/>
      <c r="B24" s="35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93"/>
      <c r="N24" s="34"/>
      <c r="O24" s="34"/>
    </row>
    <row r="25">
      <c r="A25" s="34"/>
      <c r="B25" s="3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93"/>
      <c r="N25" s="34"/>
      <c r="O25" s="34"/>
    </row>
    <row r="26">
      <c r="A26" s="34"/>
      <c r="B26" s="3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93"/>
      <c r="N26" s="34"/>
      <c r="O26" s="34"/>
    </row>
    <row r="27">
      <c r="A27" s="34"/>
      <c r="B27" s="3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93"/>
      <c r="N27" s="34"/>
      <c r="O27" s="34"/>
    </row>
    <row r="28">
      <c r="A28" s="34"/>
      <c r="B28" s="35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93"/>
      <c r="N28" s="34"/>
      <c r="O28" s="34"/>
    </row>
    <row r="29">
      <c r="A29" s="34"/>
      <c r="B29" s="3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93"/>
      <c r="N29" s="34"/>
      <c r="O29" s="34"/>
    </row>
    <row r="30">
      <c r="B30" s="94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93"/>
    </row>
    <row r="31">
      <c r="B31" s="94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105"/>
    </row>
    <row r="32">
      <c r="B32" s="94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105"/>
      <c r="O32" s="2">
        <v>4.0</v>
      </c>
    </row>
  </sheetData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1.29"/>
    <col customWidth="1" min="3" max="3" width="7.0"/>
    <col customWidth="1" min="4" max="4" width="9.29"/>
    <col customWidth="1" min="5" max="5" width="5.0"/>
    <col customWidth="1" min="6" max="6" width="7.0"/>
    <col customWidth="1" min="7" max="7" width="8.0"/>
    <col customWidth="1" min="8" max="8" width="7.0"/>
    <col customWidth="1" min="9" max="9" width="9.86"/>
    <col customWidth="1" min="10" max="10" width="14.57"/>
    <col customWidth="1" min="11" max="11" width="9.57"/>
    <col customWidth="1" min="12" max="12" width="10.14"/>
    <col customWidth="1" min="13" max="14" width="11.0"/>
    <col customWidth="1" min="15" max="15" width="10.86"/>
    <col customWidth="1" min="16" max="16" width="9.86"/>
  </cols>
  <sheetData>
    <row r="1">
      <c r="B1" s="106" t="s">
        <v>60</v>
      </c>
      <c r="C1" s="107" t="s">
        <v>35</v>
      </c>
      <c r="D1" s="108" t="s">
        <v>61</v>
      </c>
      <c r="E1" s="108" t="s">
        <v>62</v>
      </c>
      <c r="F1" s="108" t="s">
        <v>40</v>
      </c>
      <c r="G1" s="108" t="s">
        <v>36</v>
      </c>
      <c r="H1" s="108" t="s">
        <v>66</v>
      </c>
      <c r="I1" s="109" t="s">
        <v>67</v>
      </c>
      <c r="J1" s="110" t="s">
        <v>68</v>
      </c>
      <c r="K1" s="50" t="s">
        <v>69</v>
      </c>
      <c r="L1" s="110" t="s">
        <v>71</v>
      </c>
      <c r="M1" s="57" t="s">
        <v>74</v>
      </c>
      <c r="N1" s="59" t="s">
        <v>75</v>
      </c>
      <c r="O1" s="59" t="s">
        <v>77</v>
      </c>
      <c r="P1" s="50" t="s">
        <v>45</v>
      </c>
    </row>
    <row r="2">
      <c r="A2" s="2">
        <v>1.0</v>
      </c>
      <c r="B2" s="91">
        <v>45261.0</v>
      </c>
      <c r="C2" s="111">
        <f>37+44.5+56.4+117.4</f>
        <v>255.3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96">
        <f t="shared" ref="I2:I32" si="2">SUMIF(C2:H2,"&lt;&gt;")</f>
        <v>255.3</v>
      </c>
      <c r="J2" s="112">
        <f>+SUM(C2:C32)/COUNTIF(C2:C32,"&lt;&gt;")</f>
        <v>165.8025806</v>
      </c>
      <c r="K2" s="113">
        <f>+P2 / COUNTIF(C2:C32, "&lt;&gt;")</f>
        <v>375.3845161</v>
      </c>
      <c r="L2" s="114">
        <f t="shared" ref="L2:M2" si="1">+SUM(C2:C31)</f>
        <v>4506.6</v>
      </c>
      <c r="M2" s="113">
        <f t="shared" si="1"/>
        <v>149.95</v>
      </c>
      <c r="N2" s="113">
        <f>Sum(G2:G32)</f>
        <v>6148.18</v>
      </c>
      <c r="O2" s="113">
        <f>+SUM(H2:H31)</f>
        <v>309.69</v>
      </c>
      <c r="P2" s="115">
        <f>+SUM(C2:H31)</f>
        <v>11636.92</v>
      </c>
    </row>
    <row r="3">
      <c r="A3" s="2">
        <v>2.0</v>
      </c>
      <c r="B3" s="91">
        <v>45262.0</v>
      </c>
      <c r="C3" s="111">
        <f>235+29.5+150</f>
        <v>414.5</v>
      </c>
      <c r="D3" s="111">
        <v>0.0</v>
      </c>
      <c r="E3" s="111">
        <v>0.0</v>
      </c>
      <c r="F3" s="111">
        <f>299.9</f>
        <v>299.9</v>
      </c>
      <c r="G3" s="111">
        <v>0.0</v>
      </c>
      <c r="H3" s="111">
        <f>13.47</f>
        <v>13.47</v>
      </c>
      <c r="I3" s="96">
        <f t="shared" si="2"/>
        <v>727.87</v>
      </c>
      <c r="P3" s="105"/>
    </row>
    <row r="4">
      <c r="A4" s="2">
        <v>3.0</v>
      </c>
      <c r="B4" s="91">
        <v>45263.0</v>
      </c>
      <c r="C4" s="111">
        <v>0.0</v>
      </c>
      <c r="D4" s="111">
        <v>0.0</v>
      </c>
      <c r="E4" s="111">
        <v>0.0</v>
      </c>
      <c r="F4" s="111">
        <v>0.0</v>
      </c>
      <c r="G4" s="111">
        <f>1470.16+297.91</f>
        <v>1768.07</v>
      </c>
      <c r="H4" s="111">
        <v>0.0</v>
      </c>
      <c r="I4" s="96">
        <f t="shared" si="2"/>
        <v>1768.07</v>
      </c>
    </row>
    <row r="5">
      <c r="A5" s="2">
        <v>4.0</v>
      </c>
      <c r="B5" s="91">
        <v>45264.0</v>
      </c>
      <c r="C5" s="111">
        <f>58.5</f>
        <v>58.5</v>
      </c>
      <c r="D5" s="111">
        <v>0.0</v>
      </c>
      <c r="E5" s="111">
        <v>0.0</v>
      </c>
      <c r="F5" s="111">
        <v>0.0</v>
      </c>
      <c r="G5" s="111">
        <f>72.5+76.5</f>
        <v>149</v>
      </c>
      <c r="H5" s="111">
        <v>0.0</v>
      </c>
      <c r="I5" s="96">
        <f t="shared" si="2"/>
        <v>207.5</v>
      </c>
    </row>
    <row r="6">
      <c r="A6" s="2">
        <v>5.0</v>
      </c>
      <c r="B6" s="91">
        <v>45265.0</v>
      </c>
      <c r="C6" s="111">
        <f>7+24.5</f>
        <v>31.5</v>
      </c>
      <c r="D6" s="111">
        <v>0.0</v>
      </c>
      <c r="E6" s="111">
        <v>0.0</v>
      </c>
      <c r="F6" s="111">
        <v>0.0</v>
      </c>
      <c r="G6" s="111">
        <v>0.0</v>
      </c>
      <c r="H6" s="111">
        <f>39</f>
        <v>39</v>
      </c>
      <c r="I6" s="96">
        <f t="shared" si="2"/>
        <v>70.5</v>
      </c>
    </row>
    <row r="7">
      <c r="A7" s="2">
        <v>6.0</v>
      </c>
      <c r="B7" s="91">
        <v>45266.0</v>
      </c>
      <c r="C7" s="111">
        <v>0.0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  <c r="I7" s="96">
        <f t="shared" si="2"/>
        <v>0</v>
      </c>
    </row>
    <row r="8">
      <c r="A8" s="2">
        <v>7.0</v>
      </c>
      <c r="B8" s="91">
        <v>45267.0</v>
      </c>
      <c r="C8" s="111">
        <v>0.0</v>
      </c>
      <c r="D8" s="111">
        <v>0.0</v>
      </c>
      <c r="E8" s="111">
        <v>0.0</v>
      </c>
      <c r="F8" s="111">
        <f>222.6</f>
        <v>222.6</v>
      </c>
      <c r="G8" s="111">
        <f>174.5+459.47</f>
        <v>633.97</v>
      </c>
      <c r="H8" s="111">
        <v>0.0</v>
      </c>
      <c r="I8" s="96">
        <f t="shared" si="2"/>
        <v>856.57</v>
      </c>
    </row>
    <row r="9">
      <c r="A9" s="2">
        <v>8.0</v>
      </c>
      <c r="B9" s="91">
        <v>45268.0</v>
      </c>
      <c r="C9" s="111">
        <f>123.4</f>
        <v>123.4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96">
        <f t="shared" si="2"/>
        <v>123.4</v>
      </c>
      <c r="K9" s="105"/>
    </row>
    <row r="10">
      <c r="A10" s="2">
        <v>9.0</v>
      </c>
      <c r="B10" s="91">
        <v>45269.0</v>
      </c>
      <c r="C10" s="111">
        <f>50+47.51</f>
        <v>97.51</v>
      </c>
      <c r="D10" s="111">
        <v>0.0</v>
      </c>
      <c r="E10" s="111">
        <v>0.0</v>
      </c>
      <c r="F10" s="111">
        <v>0.0</v>
      </c>
      <c r="G10" s="111">
        <v>0.0</v>
      </c>
      <c r="H10" s="111">
        <f>12.5</f>
        <v>12.5</v>
      </c>
      <c r="I10" s="96">
        <f t="shared" si="2"/>
        <v>110.01</v>
      </c>
    </row>
    <row r="11">
      <c r="A11" s="2">
        <v>10.0</v>
      </c>
      <c r="B11" s="91">
        <v>45270.0</v>
      </c>
      <c r="C11" s="111">
        <f>110.63+74.45</f>
        <v>185.08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I11" s="96">
        <f t="shared" si="2"/>
        <v>185.08</v>
      </c>
      <c r="K11" s="116" t="s">
        <v>78</v>
      </c>
      <c r="L11" s="117"/>
      <c r="M11" s="117"/>
      <c r="N11" s="118"/>
      <c r="O11" s="119"/>
    </row>
    <row r="12">
      <c r="A12" s="2">
        <v>11.0</v>
      </c>
      <c r="B12" s="91">
        <v>45271.0</v>
      </c>
      <c r="C12" s="111">
        <f>48+48.45</f>
        <v>96.45</v>
      </c>
      <c r="D12" s="111">
        <v>0.0</v>
      </c>
      <c r="E12" s="111">
        <v>0.0</v>
      </c>
      <c r="F12" s="111">
        <v>0.0</v>
      </c>
      <c r="G12" s="111">
        <v>0.0</v>
      </c>
      <c r="H12" s="111">
        <v>0.0</v>
      </c>
      <c r="I12" s="96">
        <f t="shared" si="2"/>
        <v>96.45</v>
      </c>
      <c r="K12" s="120" t="s">
        <v>22</v>
      </c>
      <c r="L12" s="121" t="s">
        <v>24</v>
      </c>
      <c r="M12" s="121" t="s">
        <v>79</v>
      </c>
      <c r="N12" s="121" t="s">
        <v>80</v>
      </c>
      <c r="O12" s="122"/>
    </row>
    <row r="13">
      <c r="A13" s="2">
        <v>12.0</v>
      </c>
      <c r="B13" s="91">
        <v>45272.0</v>
      </c>
      <c r="C13" s="111">
        <f>95.45+80+76.7+41.19</f>
        <v>293.34</v>
      </c>
      <c r="D13" s="111">
        <v>0.0</v>
      </c>
      <c r="E13" s="111">
        <v>0.0</v>
      </c>
      <c r="F13" s="111">
        <v>0.0</v>
      </c>
      <c r="G13" s="111">
        <f>230.01</f>
        <v>230.01</v>
      </c>
      <c r="H13" s="111">
        <f>125.36+79.5</f>
        <v>204.86</v>
      </c>
      <c r="I13" s="96">
        <f t="shared" si="2"/>
        <v>728.21</v>
      </c>
      <c r="K13" s="123">
        <f>P2</f>
        <v>11636.92</v>
      </c>
      <c r="L13" s="124">
        <v>0.0</v>
      </c>
      <c r="M13" s="124">
        <v>0.0</v>
      </c>
      <c r="N13" s="124">
        <v>0.0</v>
      </c>
      <c r="O13" s="125"/>
    </row>
    <row r="14">
      <c r="A14" s="2">
        <v>13.0</v>
      </c>
      <c r="B14" s="91">
        <v>45273.0</v>
      </c>
      <c r="C14" s="111">
        <f>81.55+194.25</f>
        <v>275.8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96">
        <f t="shared" si="2"/>
        <v>275.8</v>
      </c>
      <c r="K14" s="126" t="s">
        <v>81</v>
      </c>
      <c r="L14" s="118"/>
      <c r="M14" s="127">
        <f>Sum(K13:O13)</f>
        <v>11636.92</v>
      </c>
      <c r="N14" s="118"/>
      <c r="O14" s="119"/>
    </row>
    <row r="15">
      <c r="A15" s="2">
        <v>14.0</v>
      </c>
      <c r="B15" s="91">
        <v>45274.0</v>
      </c>
      <c r="C15" s="111">
        <f>66.4</f>
        <v>66.4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96">
        <f t="shared" si="2"/>
        <v>66.4</v>
      </c>
    </row>
    <row r="16">
      <c r="A16" s="2">
        <v>15.0</v>
      </c>
      <c r="B16" s="91">
        <v>45275.0</v>
      </c>
      <c r="C16" s="111">
        <f>30</f>
        <v>30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  <c r="I16" s="96">
        <f t="shared" si="2"/>
        <v>30</v>
      </c>
    </row>
    <row r="17">
      <c r="A17" s="2">
        <v>16.0</v>
      </c>
      <c r="B17" s="91">
        <v>45276.0</v>
      </c>
      <c r="C17" s="111">
        <f>130</f>
        <v>130</v>
      </c>
      <c r="D17" s="111">
        <v>0.0</v>
      </c>
      <c r="E17" s="111">
        <v>0.0</v>
      </c>
      <c r="F17" s="111">
        <v>0.0</v>
      </c>
      <c r="G17" s="111">
        <f>162.5+62.5</f>
        <v>225</v>
      </c>
      <c r="H17" s="111">
        <f>19.9</f>
        <v>19.9</v>
      </c>
      <c r="I17" s="96">
        <f t="shared" si="2"/>
        <v>374.9</v>
      </c>
    </row>
    <row r="18">
      <c r="A18" s="2">
        <v>17.0</v>
      </c>
      <c r="B18" s="91">
        <v>45277.0</v>
      </c>
      <c r="C18" s="111">
        <f>60.75+27</f>
        <v>87.75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96">
        <f t="shared" si="2"/>
        <v>87.75</v>
      </c>
    </row>
    <row r="19">
      <c r="A19" s="2">
        <v>18.0</v>
      </c>
      <c r="B19" s="91">
        <v>45278.0</v>
      </c>
      <c r="C19" s="111">
        <v>0.0</v>
      </c>
      <c r="D19" s="111">
        <v>0.0</v>
      </c>
      <c r="E19" s="111">
        <v>0.0</v>
      </c>
      <c r="F19" s="111">
        <v>0.0</v>
      </c>
      <c r="G19" s="111">
        <v>0.0</v>
      </c>
      <c r="H19" s="111">
        <v>0.0</v>
      </c>
      <c r="I19" s="96">
        <f t="shared" si="2"/>
        <v>0</v>
      </c>
    </row>
    <row r="20">
      <c r="A20" s="2">
        <v>19.0</v>
      </c>
      <c r="B20" s="91">
        <v>45279.0</v>
      </c>
      <c r="C20" s="111">
        <f>107.85+8.25+37.47</f>
        <v>153.57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  <c r="I20" s="96">
        <f t="shared" si="2"/>
        <v>153.57</v>
      </c>
    </row>
    <row r="21">
      <c r="A21" s="2">
        <v>20.0</v>
      </c>
      <c r="B21" s="91">
        <v>45280.0</v>
      </c>
      <c r="C21" s="111">
        <f>112.75+66.7</f>
        <v>179.45</v>
      </c>
      <c r="D21" s="111">
        <v>0.0</v>
      </c>
      <c r="E21" s="111">
        <v>0.0</v>
      </c>
      <c r="F21" s="111">
        <v>0.0</v>
      </c>
      <c r="G21" s="111">
        <f>155.75</f>
        <v>155.75</v>
      </c>
      <c r="H21" s="111">
        <v>0.0</v>
      </c>
      <c r="I21" s="96">
        <f t="shared" si="2"/>
        <v>335.2</v>
      </c>
    </row>
    <row r="22">
      <c r="A22" s="2">
        <v>21.0</v>
      </c>
      <c r="B22" s="91">
        <v>45281.0</v>
      </c>
      <c r="C22" s="111">
        <f>33+30</f>
        <v>63</v>
      </c>
      <c r="D22" s="111">
        <v>0.0</v>
      </c>
      <c r="E22" s="111">
        <v>0.0</v>
      </c>
      <c r="F22" s="111">
        <v>0.0</v>
      </c>
      <c r="G22" s="111">
        <v>0.0</v>
      </c>
      <c r="H22" s="111">
        <v>0.0</v>
      </c>
      <c r="I22" s="96">
        <f t="shared" si="2"/>
        <v>63</v>
      </c>
    </row>
    <row r="23">
      <c r="A23" s="2">
        <v>22.0</v>
      </c>
      <c r="B23" s="91">
        <v>45282.0</v>
      </c>
      <c r="C23" s="111">
        <v>20.0</v>
      </c>
      <c r="D23" s="111">
        <v>0.0</v>
      </c>
      <c r="E23" s="111">
        <v>0.0</v>
      </c>
      <c r="F23" s="111">
        <v>0.0</v>
      </c>
      <c r="G23" s="111">
        <v>0.0</v>
      </c>
      <c r="H23" s="111">
        <v>0.0</v>
      </c>
      <c r="I23" s="96">
        <f t="shared" si="2"/>
        <v>20</v>
      </c>
    </row>
    <row r="24">
      <c r="A24" s="2">
        <v>23.0</v>
      </c>
      <c r="B24" s="91">
        <v>45283.0</v>
      </c>
      <c r="C24" s="111">
        <f>84+50+165+117.96</f>
        <v>416.96</v>
      </c>
      <c r="D24" s="111">
        <v>0.0</v>
      </c>
      <c r="E24" s="111">
        <v>0.0</v>
      </c>
      <c r="F24" s="111">
        <v>0.0</v>
      </c>
      <c r="G24" s="111">
        <f>490.32</f>
        <v>490.32</v>
      </c>
      <c r="H24" s="111">
        <v>0.0</v>
      </c>
      <c r="I24" s="96">
        <f t="shared" si="2"/>
        <v>907.28</v>
      </c>
    </row>
    <row r="25">
      <c r="A25" s="2">
        <v>24.0</v>
      </c>
      <c r="B25" s="91">
        <v>45284.0</v>
      </c>
      <c r="C25" s="111">
        <f>38.8+235+85</f>
        <v>358.8</v>
      </c>
      <c r="D25" s="111">
        <v>0.0</v>
      </c>
      <c r="E25" s="111">
        <v>0.0</v>
      </c>
      <c r="F25" s="111">
        <v>0.0</v>
      </c>
      <c r="G25" s="111">
        <v>0.0</v>
      </c>
      <c r="H25" s="111">
        <v>0.0</v>
      </c>
      <c r="I25" s="96">
        <f t="shared" si="2"/>
        <v>358.8</v>
      </c>
    </row>
    <row r="26">
      <c r="A26" s="2">
        <v>25.0</v>
      </c>
      <c r="B26" s="91">
        <v>45285.0</v>
      </c>
      <c r="C26" s="111">
        <f>51.5</f>
        <v>51.5</v>
      </c>
      <c r="D26" s="111">
        <v>0.0</v>
      </c>
      <c r="E26" s="111">
        <v>0.0</v>
      </c>
      <c r="F26" s="111">
        <v>0.0</v>
      </c>
      <c r="G26" s="111">
        <v>0.0</v>
      </c>
      <c r="H26" s="111">
        <f>19.96</f>
        <v>19.96</v>
      </c>
      <c r="I26" s="96">
        <f t="shared" si="2"/>
        <v>71.46</v>
      </c>
    </row>
    <row r="27">
      <c r="A27" s="2">
        <v>26.0</v>
      </c>
      <c r="B27" s="91">
        <v>45286.0</v>
      </c>
      <c r="C27" s="111">
        <f>61.9+48+43.5+129.74</f>
        <v>283.14</v>
      </c>
      <c r="D27" s="111">
        <v>0.0</v>
      </c>
      <c r="E27" s="111">
        <v>0.0</v>
      </c>
      <c r="F27" s="111">
        <v>0.0</v>
      </c>
      <c r="G27" s="111">
        <f>87.47+94.37+463.7</f>
        <v>645.54</v>
      </c>
      <c r="H27" s="111">
        <v>0.0</v>
      </c>
      <c r="I27" s="96">
        <f t="shared" si="2"/>
        <v>928.68</v>
      </c>
    </row>
    <row r="28">
      <c r="A28" s="2">
        <v>27.0</v>
      </c>
      <c r="B28" s="91">
        <v>45287.0</v>
      </c>
      <c r="C28" s="111">
        <v>0.0</v>
      </c>
      <c r="D28" s="111">
        <v>0.0</v>
      </c>
      <c r="E28" s="111">
        <v>0.0</v>
      </c>
      <c r="F28" s="111">
        <v>0.0</v>
      </c>
      <c r="G28" s="111">
        <v>0.0</v>
      </c>
      <c r="H28" s="111">
        <v>0.0</v>
      </c>
      <c r="I28" s="96">
        <f t="shared" si="2"/>
        <v>0</v>
      </c>
    </row>
    <row r="29">
      <c r="A29" s="2">
        <v>28.0</v>
      </c>
      <c r="B29" s="91">
        <v>45288.0</v>
      </c>
      <c r="C29" s="111">
        <f>249.04</f>
        <v>249.04</v>
      </c>
      <c r="D29" s="111">
        <v>0.0</v>
      </c>
      <c r="E29" s="111">
        <v>0.0</v>
      </c>
      <c r="F29" s="111">
        <v>0.0</v>
      </c>
      <c r="G29" s="111">
        <f>16.31+10.87+108.74+1714.6</f>
        <v>1850.52</v>
      </c>
      <c r="H29" s="111">
        <v>0.0</v>
      </c>
      <c r="I29" s="96">
        <f t="shared" si="2"/>
        <v>2099.56</v>
      </c>
    </row>
    <row r="30">
      <c r="A30" s="2">
        <v>29.0</v>
      </c>
      <c r="B30" s="91">
        <v>45289.0</v>
      </c>
      <c r="C30" s="111">
        <f>28.75+25.5+32.5</f>
        <v>86.75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  <c r="I30" s="96">
        <f t="shared" si="2"/>
        <v>86.75</v>
      </c>
    </row>
    <row r="31">
      <c r="A31" s="2">
        <v>30.0</v>
      </c>
      <c r="B31" s="91">
        <v>45290.0</v>
      </c>
      <c r="C31" s="111">
        <f>200+84+114.86+100</f>
        <v>498.86</v>
      </c>
      <c r="D31" s="111">
        <f>74.95+75</f>
        <v>149.95</v>
      </c>
      <c r="E31" s="111">
        <v>0.0</v>
      </c>
      <c r="F31" s="111">
        <v>0.0</v>
      </c>
      <c r="G31" s="111">
        <v>0.0</v>
      </c>
      <c r="H31" s="111">
        <v>0.0</v>
      </c>
      <c r="I31" s="96">
        <f t="shared" si="2"/>
        <v>648.81</v>
      </c>
    </row>
    <row r="32">
      <c r="A32" s="2">
        <v>31.0</v>
      </c>
      <c r="B32" s="91">
        <v>45291.0</v>
      </c>
      <c r="C32" s="111">
        <f>55.85+171.93+405.5</f>
        <v>633.28</v>
      </c>
      <c r="D32" s="111">
        <v>0.0</v>
      </c>
      <c r="E32" s="111">
        <v>0.0</v>
      </c>
      <c r="F32" s="111">
        <v>0.0</v>
      </c>
      <c r="G32" s="111">
        <v>0.0</v>
      </c>
      <c r="H32" s="111">
        <v>0.0</v>
      </c>
      <c r="I32" s="96">
        <f t="shared" si="2"/>
        <v>633.28</v>
      </c>
    </row>
  </sheetData>
  <mergeCells count="3">
    <mergeCell ref="K11:N11"/>
    <mergeCell ref="K14:L14"/>
    <mergeCell ref="M14:N1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  <col customWidth="1" min="3" max="3" width="8.0"/>
    <col customWidth="1" min="4" max="4" width="6.71"/>
    <col customWidth="1" min="5" max="5" width="9.29"/>
    <col customWidth="1" min="6" max="9" width="8.0"/>
    <col customWidth="1" min="10" max="10" width="9.86"/>
    <col customWidth="1" min="11" max="11" width="16.57"/>
    <col customWidth="1" min="12" max="12" width="9.29"/>
    <col customWidth="1" min="13" max="13" width="12.14"/>
    <col customWidth="1" min="14" max="14" width="11.57"/>
    <col customWidth="1" min="15" max="15" width="11.0"/>
    <col customWidth="1" min="16" max="17" width="10.86"/>
    <col customWidth="1" min="18" max="18" width="9.43"/>
  </cols>
  <sheetData>
    <row r="1">
      <c r="B1" s="106" t="s">
        <v>60</v>
      </c>
      <c r="C1" s="107" t="s">
        <v>34</v>
      </c>
      <c r="D1" s="128" t="s">
        <v>82</v>
      </c>
      <c r="E1" s="108" t="s">
        <v>61</v>
      </c>
      <c r="F1" s="108" t="s">
        <v>62</v>
      </c>
      <c r="G1" s="108" t="s">
        <v>40</v>
      </c>
      <c r="H1" s="108" t="s">
        <v>36</v>
      </c>
      <c r="I1" s="108" t="s">
        <v>66</v>
      </c>
      <c r="J1" s="109" t="s">
        <v>67</v>
      </c>
      <c r="K1" s="48" t="s">
        <v>68</v>
      </c>
      <c r="L1" s="50" t="s">
        <v>69</v>
      </c>
      <c r="M1" s="48" t="s">
        <v>70</v>
      </c>
      <c r="N1" s="53" t="s">
        <v>83</v>
      </c>
      <c r="O1" s="57" t="s">
        <v>74</v>
      </c>
      <c r="P1" s="59" t="s">
        <v>75</v>
      </c>
      <c r="Q1" s="59" t="s">
        <v>77</v>
      </c>
      <c r="R1" s="50" t="s">
        <v>45</v>
      </c>
    </row>
    <row r="2">
      <c r="A2" s="2">
        <v>1.0</v>
      </c>
      <c r="B2" s="91">
        <v>45292.0</v>
      </c>
      <c r="C2" s="111">
        <f>122.5</f>
        <v>122.5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1">
        <v>0.0</v>
      </c>
      <c r="J2" s="96">
        <f t="shared" ref="J2:J32" si="2">SUMIF(C2:I2,"&lt;&gt;")</f>
        <v>122.5</v>
      </c>
      <c r="K2" s="112">
        <f>+SUM(C2:C32,D2:D32)/ COUNTIFS(C2:C32, "&lt;&gt;", D2:D32, "&lt;&gt;")</f>
        <v>195.0519355</v>
      </c>
      <c r="L2" s="113">
        <f>+R2 / COUNTIF(C2:C32, "&lt;&gt;")</f>
        <v>431.8680645</v>
      </c>
      <c r="M2" s="114">
        <f t="shared" ref="M2:O2" si="1">+SUM(C2:C31)</f>
        <v>5001.94</v>
      </c>
      <c r="N2" s="114">
        <f t="shared" si="1"/>
        <v>902.15</v>
      </c>
      <c r="O2" s="113">
        <f t="shared" si="1"/>
        <v>300.9</v>
      </c>
      <c r="P2" s="113">
        <f>Sum(H2:H32)</f>
        <v>6090.36</v>
      </c>
      <c r="Q2" s="113">
        <f>+SUM(I2:I31)</f>
        <v>563.26</v>
      </c>
      <c r="R2" s="115">
        <f>+SUM(C2:I31)</f>
        <v>13387.91</v>
      </c>
    </row>
    <row r="3">
      <c r="A3" s="2">
        <v>2.0</v>
      </c>
      <c r="B3" s="91">
        <v>45293.0</v>
      </c>
      <c r="C3" s="111">
        <v>0.0</v>
      </c>
      <c r="D3" s="111">
        <f>280</f>
        <v>280</v>
      </c>
      <c r="E3" s="111">
        <v>0.0</v>
      </c>
      <c r="F3" s="111">
        <v>0.0</v>
      </c>
      <c r="G3" s="111">
        <v>0.0</v>
      </c>
      <c r="H3" s="111">
        <v>0.0</v>
      </c>
      <c r="I3" s="111">
        <f>13.54</f>
        <v>13.54</v>
      </c>
      <c r="J3" s="96">
        <f t="shared" si="2"/>
        <v>293.54</v>
      </c>
      <c r="R3" s="105"/>
    </row>
    <row r="4">
      <c r="A4" s="2">
        <v>3.0</v>
      </c>
      <c r="B4" s="91">
        <v>45294.0</v>
      </c>
      <c r="C4" s="111">
        <v>0.0</v>
      </c>
      <c r="D4" s="111">
        <v>0.0</v>
      </c>
      <c r="E4" s="111">
        <v>0.0</v>
      </c>
      <c r="F4" s="111">
        <v>0.0</v>
      </c>
      <c r="G4" s="111">
        <v>0.0</v>
      </c>
      <c r="H4" s="111">
        <f>297.91+1470.16</f>
        <v>1768.07</v>
      </c>
      <c r="I4" s="111">
        <v>0.0</v>
      </c>
      <c r="J4" s="96">
        <f t="shared" si="2"/>
        <v>1768.07</v>
      </c>
    </row>
    <row r="5">
      <c r="A5" s="2">
        <v>4.0</v>
      </c>
      <c r="B5" s="91">
        <v>45295.0</v>
      </c>
      <c r="C5" s="111">
        <v>0.0</v>
      </c>
      <c r="D5" s="111">
        <v>0.0</v>
      </c>
      <c r="E5" s="111">
        <v>0.0</v>
      </c>
      <c r="F5" s="111">
        <v>0.0</v>
      </c>
      <c r="G5" s="111">
        <v>0.0</v>
      </c>
      <c r="H5" s="111">
        <f>76.5+72.5</f>
        <v>149</v>
      </c>
      <c r="I5" s="111">
        <v>0.0</v>
      </c>
      <c r="J5" s="96">
        <f t="shared" si="2"/>
        <v>149</v>
      </c>
    </row>
    <row r="6">
      <c r="A6" s="2">
        <v>5.0</v>
      </c>
      <c r="B6" s="91">
        <v>45296.0</v>
      </c>
      <c r="C6" s="111">
        <f>26.24</f>
        <v>26.24</v>
      </c>
      <c r="D6" s="111">
        <v>0.0</v>
      </c>
      <c r="E6" s="111">
        <v>0.0</v>
      </c>
      <c r="F6" s="111">
        <v>0.0</v>
      </c>
      <c r="G6" s="111">
        <f>299.9+229.4</f>
        <v>529.3</v>
      </c>
      <c r="H6" s="111">
        <v>0.0</v>
      </c>
      <c r="I6" s="111">
        <f>39+20</f>
        <v>59</v>
      </c>
      <c r="J6" s="96">
        <f t="shared" si="2"/>
        <v>614.54</v>
      </c>
    </row>
    <row r="7">
      <c r="A7" s="2">
        <v>6.0</v>
      </c>
      <c r="B7" s="91">
        <v>45297.0</v>
      </c>
      <c r="C7" s="111">
        <v>0.0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96">
        <f t="shared" si="2"/>
        <v>0</v>
      </c>
    </row>
    <row r="8">
      <c r="A8" s="2">
        <v>7.0</v>
      </c>
      <c r="B8" s="91">
        <v>45298.0</v>
      </c>
      <c r="C8" s="111">
        <f>188.55+123.65+27</f>
        <v>339.2</v>
      </c>
      <c r="D8" s="111">
        <v>0.0</v>
      </c>
      <c r="E8" s="111">
        <v>0.0</v>
      </c>
      <c r="F8" s="111">
        <v>0.0</v>
      </c>
      <c r="G8" s="111">
        <v>0.0</v>
      </c>
      <c r="H8" s="111">
        <f>459.47</f>
        <v>459.47</v>
      </c>
      <c r="I8" s="111">
        <v>0.0</v>
      </c>
      <c r="J8" s="96">
        <f t="shared" si="2"/>
        <v>798.67</v>
      </c>
    </row>
    <row r="9">
      <c r="A9" s="2">
        <v>8.0</v>
      </c>
      <c r="B9" s="91">
        <v>45299.0</v>
      </c>
      <c r="C9" s="111">
        <f>173.33</f>
        <v>173.33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96">
        <f t="shared" si="2"/>
        <v>173.33</v>
      </c>
      <c r="L9" s="105"/>
    </row>
    <row r="10">
      <c r="A10" s="2">
        <v>9.0</v>
      </c>
      <c r="B10" s="91">
        <v>45300.0</v>
      </c>
      <c r="C10" s="111">
        <f>81.1+11.65+73.63+195.25</f>
        <v>361.63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96">
        <f t="shared" si="2"/>
        <v>361.63</v>
      </c>
    </row>
    <row r="11">
      <c r="A11" s="2">
        <v>10.0</v>
      </c>
      <c r="B11" s="91">
        <v>45301.0</v>
      </c>
      <c r="C11" s="111">
        <f>109</f>
        <v>109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I11" s="111">
        <v>0.0</v>
      </c>
      <c r="J11" s="96">
        <f t="shared" si="2"/>
        <v>109</v>
      </c>
      <c r="L11" s="116" t="s">
        <v>78</v>
      </c>
      <c r="M11" s="117"/>
      <c r="N11" s="118"/>
      <c r="O11" s="119"/>
    </row>
    <row r="12">
      <c r="A12" s="2">
        <v>11.0</v>
      </c>
      <c r="B12" s="91">
        <v>45302.0</v>
      </c>
      <c r="C12" s="111">
        <f>137.82</f>
        <v>137.82</v>
      </c>
      <c r="D12" s="111">
        <v>0.0</v>
      </c>
      <c r="E12" s="111">
        <v>0.0</v>
      </c>
      <c r="F12" s="111">
        <v>0.0</v>
      </c>
      <c r="G12" s="111">
        <v>0.0</v>
      </c>
      <c r="H12" s="111">
        <v>0.0</v>
      </c>
      <c r="I12" s="111">
        <f>104.95</f>
        <v>104.95</v>
      </c>
      <c r="J12" s="96">
        <f t="shared" si="2"/>
        <v>242.77</v>
      </c>
      <c r="L12" s="120" t="s">
        <v>22</v>
      </c>
      <c r="M12" s="121" t="s">
        <v>24</v>
      </c>
      <c r="N12" s="121" t="s">
        <v>79</v>
      </c>
      <c r="O12" s="122"/>
    </row>
    <row r="13">
      <c r="A13" s="2">
        <v>12.0</v>
      </c>
      <c r="B13" s="91">
        <v>45303.0</v>
      </c>
      <c r="C13" s="111">
        <f>444.2+134.71</f>
        <v>578.91</v>
      </c>
      <c r="D13" s="111">
        <v>0.0</v>
      </c>
      <c r="E13" s="111">
        <v>0.0</v>
      </c>
      <c r="F13" s="111">
        <v>0.0</v>
      </c>
      <c r="G13" s="111">
        <v>0.0</v>
      </c>
      <c r="H13" s="111">
        <f>229.98</f>
        <v>229.98</v>
      </c>
      <c r="I13" s="111">
        <f>126.15</f>
        <v>126.15</v>
      </c>
      <c r="J13" s="96">
        <f t="shared" si="2"/>
        <v>935.04</v>
      </c>
      <c r="L13" s="123">
        <f>R2</f>
        <v>13387.91</v>
      </c>
      <c r="M13" s="124">
        <v>0.0</v>
      </c>
      <c r="N13" s="124">
        <v>0.0</v>
      </c>
      <c r="O13" s="125"/>
    </row>
    <row r="14">
      <c r="A14" s="2">
        <v>13.0</v>
      </c>
      <c r="B14" s="91">
        <v>45304.0</v>
      </c>
      <c r="C14" s="111">
        <v>0.0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96">
        <f t="shared" si="2"/>
        <v>0</v>
      </c>
      <c r="L14" s="126" t="s">
        <v>81</v>
      </c>
      <c r="M14" s="127">
        <f>Sum(L13:O13)</f>
        <v>13387.91</v>
      </c>
      <c r="N14" s="118"/>
      <c r="O14" s="119"/>
    </row>
    <row r="15">
      <c r="A15" s="2">
        <v>14.0</v>
      </c>
      <c r="B15" s="91">
        <v>45305.0</v>
      </c>
      <c r="C15" s="111">
        <f>96.27+80</f>
        <v>176.27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96">
        <f t="shared" si="2"/>
        <v>176.27</v>
      </c>
    </row>
    <row r="16">
      <c r="A16" s="2">
        <v>15.0</v>
      </c>
      <c r="B16" s="91">
        <v>45306.0</v>
      </c>
      <c r="C16" s="111">
        <f>138.83+44.9+55</f>
        <v>238.73</v>
      </c>
      <c r="D16" s="111">
        <f>99.9</f>
        <v>99.9</v>
      </c>
      <c r="E16" s="111">
        <v>0.0</v>
      </c>
      <c r="F16" s="111">
        <v>0.0</v>
      </c>
      <c r="G16" s="111">
        <v>0.0</v>
      </c>
      <c r="H16" s="111">
        <v>0.0</v>
      </c>
      <c r="I16" s="111">
        <f>19.9</f>
        <v>19.9</v>
      </c>
      <c r="J16" s="96">
        <f t="shared" si="2"/>
        <v>358.53</v>
      </c>
    </row>
    <row r="17">
      <c r="A17" s="2">
        <v>16.0</v>
      </c>
      <c r="B17" s="91">
        <v>45307.0</v>
      </c>
      <c r="C17" s="111">
        <v>0.0</v>
      </c>
      <c r="D17" s="111">
        <v>0.0</v>
      </c>
      <c r="E17" s="111">
        <v>0.0</v>
      </c>
      <c r="F17" s="111">
        <v>0.0</v>
      </c>
      <c r="G17" s="111">
        <v>0.0</v>
      </c>
      <c r="H17" s="111">
        <f>301.49</f>
        <v>301.49</v>
      </c>
      <c r="I17" s="111">
        <v>0.0</v>
      </c>
      <c r="J17" s="96">
        <f t="shared" si="2"/>
        <v>301.49</v>
      </c>
    </row>
    <row r="18">
      <c r="A18" s="2">
        <v>17.0</v>
      </c>
      <c r="B18" s="91">
        <v>45308.0</v>
      </c>
      <c r="C18" s="111">
        <v>0.0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96">
        <f t="shared" si="2"/>
        <v>0</v>
      </c>
    </row>
    <row r="19">
      <c r="A19" s="2">
        <v>18.0</v>
      </c>
      <c r="B19" s="91">
        <v>45309.0</v>
      </c>
      <c r="C19" s="111">
        <f>24.9+208.94</f>
        <v>233.84</v>
      </c>
      <c r="D19" s="111">
        <v>0.0</v>
      </c>
      <c r="E19" s="111">
        <v>0.0</v>
      </c>
      <c r="F19" s="111">
        <v>0.0</v>
      </c>
      <c r="G19" s="111">
        <v>0.0</v>
      </c>
      <c r="H19" s="111">
        <v>0.0</v>
      </c>
      <c r="I19" s="111">
        <f>220</f>
        <v>220</v>
      </c>
      <c r="J19" s="96">
        <f t="shared" si="2"/>
        <v>453.84</v>
      </c>
    </row>
    <row r="20">
      <c r="A20" s="2">
        <v>19.0</v>
      </c>
      <c r="B20" s="91">
        <v>45310.0</v>
      </c>
      <c r="C20" s="111">
        <f>231.35</f>
        <v>231.35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96">
        <f t="shared" si="2"/>
        <v>231.35</v>
      </c>
    </row>
    <row r="21">
      <c r="A21" s="2">
        <v>20.0</v>
      </c>
      <c r="B21" s="91">
        <v>45311.0</v>
      </c>
      <c r="C21" s="111">
        <f>131.75</f>
        <v>131.75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96">
        <f t="shared" si="2"/>
        <v>131.75</v>
      </c>
    </row>
    <row r="22">
      <c r="A22" s="2">
        <v>21.0</v>
      </c>
      <c r="B22" s="91">
        <v>45312.0</v>
      </c>
      <c r="C22" s="111">
        <f>175</f>
        <v>175</v>
      </c>
      <c r="D22" s="111">
        <v>0.0</v>
      </c>
      <c r="E22" s="111">
        <v>0.0</v>
      </c>
      <c r="F22" s="111">
        <v>0.0</v>
      </c>
      <c r="G22" s="111">
        <v>0.0</v>
      </c>
      <c r="H22" s="111">
        <f>106.25</f>
        <v>106.25</v>
      </c>
      <c r="I22" s="111">
        <v>0.0</v>
      </c>
      <c r="J22" s="96">
        <f t="shared" si="2"/>
        <v>281.25</v>
      </c>
    </row>
    <row r="23">
      <c r="A23" s="2">
        <v>22.0</v>
      </c>
      <c r="B23" s="91">
        <v>45313.0</v>
      </c>
      <c r="C23" s="111">
        <f>83.21+171.99+308.95</f>
        <v>564.15</v>
      </c>
      <c r="D23" s="111">
        <f>185</f>
        <v>185</v>
      </c>
      <c r="E23" s="111">
        <v>0.0</v>
      </c>
      <c r="F23" s="111">
        <v>0.0</v>
      </c>
      <c r="G23" s="111">
        <v>0.0</v>
      </c>
      <c r="H23" s="111">
        <f>67.51</f>
        <v>67.51</v>
      </c>
      <c r="I23" s="111">
        <f>19.72</f>
        <v>19.72</v>
      </c>
      <c r="J23" s="96">
        <f t="shared" si="2"/>
        <v>836.38</v>
      </c>
    </row>
    <row r="24">
      <c r="A24" s="2">
        <v>23.0</v>
      </c>
      <c r="B24" s="91">
        <v>45314.0</v>
      </c>
      <c r="C24" s="111">
        <f>179.08+39.9+169.75</f>
        <v>388.73</v>
      </c>
      <c r="D24" s="111">
        <f>157.25</f>
        <v>157.25</v>
      </c>
      <c r="E24" s="111">
        <v>0.0</v>
      </c>
      <c r="F24" s="111">
        <v>0.0</v>
      </c>
      <c r="G24" s="111">
        <v>0.0</v>
      </c>
      <c r="H24" s="111">
        <f>600</f>
        <v>600</v>
      </c>
      <c r="I24" s="111">
        <v>0.0</v>
      </c>
      <c r="J24" s="96">
        <f t="shared" si="2"/>
        <v>1145.98</v>
      </c>
    </row>
    <row r="25">
      <c r="A25" s="2">
        <v>24.0</v>
      </c>
      <c r="B25" s="91">
        <v>45315.0</v>
      </c>
      <c r="C25" s="111">
        <v>0.0</v>
      </c>
      <c r="D25" s="111">
        <v>0.0</v>
      </c>
      <c r="E25" s="111">
        <v>0.0</v>
      </c>
      <c r="F25" s="111">
        <v>0.0</v>
      </c>
      <c r="G25" s="111">
        <v>0.0</v>
      </c>
      <c r="H25" s="111">
        <v>0.0</v>
      </c>
      <c r="I25" s="111">
        <v>0.0</v>
      </c>
      <c r="J25" s="96">
        <f t="shared" si="2"/>
        <v>0</v>
      </c>
    </row>
    <row r="26">
      <c r="A26" s="2">
        <v>25.0</v>
      </c>
      <c r="B26" s="91">
        <v>45316.0</v>
      </c>
      <c r="C26" s="111">
        <v>0.0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96">
        <f t="shared" si="2"/>
        <v>0</v>
      </c>
    </row>
    <row r="27">
      <c r="A27" s="2">
        <v>26.0</v>
      </c>
      <c r="B27" s="91">
        <v>45317.0</v>
      </c>
      <c r="C27" s="111">
        <f>337.65</f>
        <v>337.65</v>
      </c>
      <c r="D27" s="111">
        <v>0.0</v>
      </c>
      <c r="E27" s="111">
        <v>0.0</v>
      </c>
      <c r="F27" s="111">
        <v>0.0</v>
      </c>
      <c r="G27" s="111">
        <v>0.0</v>
      </c>
      <c r="H27" s="111">
        <f>463.7+94.37</f>
        <v>558.07</v>
      </c>
      <c r="I27" s="111">
        <v>0.0</v>
      </c>
      <c r="J27" s="96">
        <f t="shared" si="2"/>
        <v>895.72</v>
      </c>
    </row>
    <row r="28">
      <c r="A28" s="2">
        <v>27.0</v>
      </c>
      <c r="B28" s="91">
        <v>45318.0</v>
      </c>
      <c r="C28" s="111">
        <f>115+87.2+175.36+39.5</f>
        <v>417.06</v>
      </c>
      <c r="D28" s="111">
        <v>0.0</v>
      </c>
      <c r="E28" s="111">
        <f>98.95</f>
        <v>98.95</v>
      </c>
      <c r="F28" s="111">
        <v>0.0</v>
      </c>
      <c r="G28" s="111">
        <v>0.0</v>
      </c>
      <c r="H28" s="111">
        <v>0.0</v>
      </c>
      <c r="I28" s="111">
        <v>0.0</v>
      </c>
      <c r="J28" s="96">
        <f t="shared" si="2"/>
        <v>516.01</v>
      </c>
    </row>
    <row r="29">
      <c r="A29" s="2">
        <v>28.0</v>
      </c>
      <c r="B29" s="91">
        <v>45319.0</v>
      </c>
      <c r="C29" s="111">
        <v>0.0</v>
      </c>
      <c r="D29" s="111">
        <v>0.0</v>
      </c>
      <c r="E29" s="111">
        <v>0.0</v>
      </c>
      <c r="F29" s="111">
        <v>0.0</v>
      </c>
      <c r="G29" s="111">
        <v>0.0</v>
      </c>
      <c r="H29" s="111">
        <f>1850.52</f>
        <v>1850.52</v>
      </c>
      <c r="I29" s="111">
        <v>0.0</v>
      </c>
      <c r="J29" s="96">
        <f t="shared" si="2"/>
        <v>1850.52</v>
      </c>
    </row>
    <row r="30">
      <c r="A30" s="2">
        <v>29.0</v>
      </c>
      <c r="B30" s="91">
        <v>45320.0</v>
      </c>
      <c r="C30" s="111">
        <f>111.28+147.5</f>
        <v>258.78</v>
      </c>
      <c r="D30" s="111">
        <f>180</f>
        <v>180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96">
        <f t="shared" si="2"/>
        <v>438.78</v>
      </c>
    </row>
    <row r="31">
      <c r="A31" s="2">
        <v>30.0</v>
      </c>
      <c r="B31" s="91">
        <v>45321.0</v>
      </c>
      <c r="C31" s="111">
        <v>0.0</v>
      </c>
      <c r="D31" s="111">
        <v>0.0</v>
      </c>
      <c r="E31" s="111">
        <f>201.95</f>
        <v>201.95</v>
      </c>
      <c r="F31" s="111">
        <v>0.0</v>
      </c>
      <c r="G31" s="111">
        <v>0.0</v>
      </c>
      <c r="H31" s="111">
        <v>0.0</v>
      </c>
      <c r="I31" s="111">
        <v>0.0</v>
      </c>
      <c r="J31" s="96">
        <f t="shared" si="2"/>
        <v>201.95</v>
      </c>
    </row>
    <row r="32">
      <c r="A32" s="2">
        <v>31.0</v>
      </c>
      <c r="B32" s="91">
        <v>45322.0</v>
      </c>
      <c r="C32" s="111">
        <f>142.52</f>
        <v>142.52</v>
      </c>
      <c r="D32" s="111">
        <v>0.0</v>
      </c>
      <c r="E32" s="111">
        <v>0.0</v>
      </c>
      <c r="F32" s="111">
        <v>0.0</v>
      </c>
      <c r="G32" s="111">
        <v>0.0</v>
      </c>
      <c r="H32" s="111">
        <v>0.0</v>
      </c>
      <c r="I32" s="111">
        <v>0.0</v>
      </c>
      <c r="J32" s="96">
        <f t="shared" si="2"/>
        <v>142.52</v>
      </c>
    </row>
  </sheetData>
  <mergeCells count="2">
    <mergeCell ref="L11:N11"/>
    <mergeCell ref="M14:N1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29"/>
    <col customWidth="1" min="2" max="2" width="10.14"/>
    <col customWidth="1" min="3" max="3" width="7.29"/>
    <col customWidth="1" min="4" max="4" width="7.0"/>
    <col customWidth="1" min="5" max="5" width="9.29"/>
    <col customWidth="1" min="6" max="6" width="5.0"/>
    <col customWidth="1" min="7" max="7" width="7.0"/>
    <col customWidth="1" min="8" max="8" width="8.0"/>
    <col customWidth="1" min="9" max="9" width="7.0"/>
    <col customWidth="1" min="10" max="10" width="9.86"/>
    <col customWidth="1" min="11" max="11" width="14.57"/>
    <col customWidth="1" min="12" max="12" width="9.29"/>
    <col customWidth="1" min="13" max="13" width="12.14"/>
    <col customWidth="1" min="14" max="14" width="11.57"/>
    <col customWidth="1" min="15" max="15" width="11.0"/>
    <col customWidth="1" min="16" max="17" width="10.86"/>
    <col customWidth="1" min="18" max="18" width="9.86"/>
  </cols>
  <sheetData>
    <row r="1">
      <c r="B1" s="106" t="s">
        <v>60</v>
      </c>
      <c r="C1" s="107" t="s">
        <v>34</v>
      </c>
      <c r="D1" s="128" t="s">
        <v>82</v>
      </c>
      <c r="E1" s="108" t="s">
        <v>61</v>
      </c>
      <c r="F1" s="108" t="s">
        <v>62</v>
      </c>
      <c r="G1" s="108" t="s">
        <v>40</v>
      </c>
      <c r="H1" s="108" t="s">
        <v>36</v>
      </c>
      <c r="I1" s="108" t="s">
        <v>66</v>
      </c>
      <c r="J1" s="109" t="s">
        <v>67</v>
      </c>
      <c r="K1" s="48" t="s">
        <v>68</v>
      </c>
      <c r="L1" s="50" t="s">
        <v>69</v>
      </c>
      <c r="M1" s="48" t="s">
        <v>70</v>
      </c>
      <c r="N1" s="53" t="s">
        <v>83</v>
      </c>
      <c r="O1" s="57" t="s">
        <v>74</v>
      </c>
      <c r="P1" s="59" t="s">
        <v>75</v>
      </c>
      <c r="Q1" s="59" t="s">
        <v>77</v>
      </c>
      <c r="R1" s="50" t="s">
        <v>45</v>
      </c>
    </row>
    <row r="2">
      <c r="A2" s="2">
        <v>1.0</v>
      </c>
      <c r="B2" s="91">
        <v>45323.0</v>
      </c>
      <c r="C2" s="111">
        <f>118.93</f>
        <v>118.93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1">
        <v>0.0</v>
      </c>
      <c r="J2" s="96">
        <f t="shared" ref="J2:J30" si="2">SUMIF(C2:I2,"&lt;&gt;")</f>
        <v>118.93</v>
      </c>
      <c r="K2" s="112">
        <f>+SUM(C2:C30,D2:D30)/ COUNTIFS(C2:C30, "&lt;&gt;", D2:D30, "&lt;&gt;")</f>
        <v>268.67</v>
      </c>
      <c r="L2" s="113">
        <f>+R2 / COUNTIF(C2:C30, "&lt;&gt;")</f>
        <v>489.7231034</v>
      </c>
      <c r="M2" s="114">
        <f t="shared" ref="M2:O2" si="1">+SUM(C2:C30)</f>
        <v>4759.44</v>
      </c>
      <c r="N2" s="114">
        <f t="shared" si="1"/>
        <v>3031.99</v>
      </c>
      <c r="O2" s="113">
        <f t="shared" si="1"/>
        <v>396.9</v>
      </c>
      <c r="P2" s="113">
        <f>Sum(H2:H30)</f>
        <v>4524.09</v>
      </c>
      <c r="Q2" s="113">
        <f>+SUM(I2:I30)</f>
        <v>947.65</v>
      </c>
      <c r="R2" s="115">
        <f>+SUM(C2:I30)</f>
        <v>14201.97</v>
      </c>
    </row>
    <row r="3">
      <c r="A3" s="2">
        <v>2.0</v>
      </c>
      <c r="B3" s="91">
        <v>45324.0</v>
      </c>
      <c r="C3" s="111">
        <v>0.0</v>
      </c>
      <c r="D3" s="111">
        <v>0.0</v>
      </c>
      <c r="E3" s="111">
        <v>0.0</v>
      </c>
      <c r="F3" s="111">
        <v>0.0</v>
      </c>
      <c r="G3" s="111">
        <f>299.9+242</f>
        <v>541.9</v>
      </c>
      <c r="H3" s="111">
        <v>0.0</v>
      </c>
      <c r="I3" s="111">
        <f>13.65</f>
        <v>13.65</v>
      </c>
      <c r="J3" s="96">
        <f t="shared" si="2"/>
        <v>555.55</v>
      </c>
      <c r="R3" s="105"/>
    </row>
    <row r="4">
      <c r="A4" s="2">
        <v>3.0</v>
      </c>
      <c r="B4" s="91">
        <v>45325.0</v>
      </c>
      <c r="C4" s="111">
        <f>190</f>
        <v>190</v>
      </c>
      <c r="D4" s="111">
        <v>0.0</v>
      </c>
      <c r="E4" s="111">
        <v>0.0</v>
      </c>
      <c r="F4" s="111">
        <v>0.0</v>
      </c>
      <c r="G4" s="111">
        <v>0.0</v>
      </c>
      <c r="H4" s="111">
        <f>297.91</f>
        <v>297.91</v>
      </c>
      <c r="I4" s="111">
        <v>0.0</v>
      </c>
      <c r="J4" s="96">
        <f t="shared" si="2"/>
        <v>487.91</v>
      </c>
    </row>
    <row r="5">
      <c r="A5" s="2">
        <v>4.0</v>
      </c>
      <c r="B5" s="91">
        <v>45326.0</v>
      </c>
      <c r="C5" s="111">
        <f>135</f>
        <v>135</v>
      </c>
      <c r="D5" s="111">
        <v>0.0</v>
      </c>
      <c r="E5" s="111">
        <v>0.0</v>
      </c>
      <c r="F5" s="111">
        <v>0.0</v>
      </c>
      <c r="G5" s="111">
        <v>0.0</v>
      </c>
      <c r="H5" s="111">
        <f>216.84+77.5</f>
        <v>294.34</v>
      </c>
      <c r="I5" s="111">
        <v>0.0</v>
      </c>
      <c r="J5" s="96">
        <f t="shared" si="2"/>
        <v>429.34</v>
      </c>
    </row>
    <row r="6">
      <c r="A6" s="2">
        <v>5.0</v>
      </c>
      <c r="B6" s="91">
        <v>45327.0</v>
      </c>
      <c r="C6" s="111">
        <v>0.0</v>
      </c>
      <c r="D6" s="111">
        <v>0.0</v>
      </c>
      <c r="E6" s="111">
        <v>0.0</v>
      </c>
      <c r="F6" s="111">
        <v>0.0</v>
      </c>
      <c r="G6" s="111">
        <v>0.0</v>
      </c>
      <c r="H6" s="111">
        <v>0.0</v>
      </c>
      <c r="I6" s="111">
        <f>39</f>
        <v>39</v>
      </c>
      <c r="J6" s="96">
        <f t="shared" si="2"/>
        <v>39</v>
      </c>
    </row>
    <row r="7">
      <c r="A7" s="2">
        <v>6.0</v>
      </c>
      <c r="B7" s="91">
        <v>45328.0</v>
      </c>
      <c r="C7" s="111">
        <v>0.0</v>
      </c>
      <c r="D7" s="111">
        <f>127.25</f>
        <v>127.25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96">
        <f t="shared" si="2"/>
        <v>127.25</v>
      </c>
    </row>
    <row r="8">
      <c r="A8" s="2">
        <v>7.0</v>
      </c>
      <c r="B8" s="91">
        <v>45329.0</v>
      </c>
      <c r="C8" s="111">
        <f>81.79</f>
        <v>81.79</v>
      </c>
      <c r="D8" s="111">
        <f>128+122</f>
        <v>250</v>
      </c>
      <c r="E8" s="111">
        <v>0.0</v>
      </c>
      <c r="F8" s="111">
        <v>0.0</v>
      </c>
      <c r="G8" s="111">
        <v>0.0</v>
      </c>
      <c r="H8" s="111">
        <f>459.47</f>
        <v>459.47</v>
      </c>
      <c r="I8" s="111">
        <v>0.0</v>
      </c>
      <c r="J8" s="96">
        <f t="shared" si="2"/>
        <v>791.26</v>
      </c>
    </row>
    <row r="9">
      <c r="A9" s="2">
        <v>8.0</v>
      </c>
      <c r="B9" s="91">
        <v>45330.0</v>
      </c>
      <c r="C9" s="111">
        <v>0.0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96">
        <f t="shared" si="2"/>
        <v>0</v>
      </c>
      <c r="L9" s="105"/>
    </row>
    <row r="10">
      <c r="A10" s="2">
        <v>9.0</v>
      </c>
      <c r="B10" s="91">
        <v>45331.0</v>
      </c>
      <c r="C10" s="111">
        <v>0.0</v>
      </c>
      <c r="D10" s="111">
        <f>112.25</f>
        <v>112.25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96">
        <f t="shared" si="2"/>
        <v>112.25</v>
      </c>
    </row>
    <row r="11">
      <c r="A11" s="2">
        <v>10.0</v>
      </c>
      <c r="B11" s="91">
        <v>45332.0</v>
      </c>
      <c r="C11" s="111">
        <f>115</f>
        <v>115</v>
      </c>
      <c r="D11" s="111">
        <f>117.25</f>
        <v>117.25</v>
      </c>
      <c r="E11" s="111">
        <v>0.0</v>
      </c>
      <c r="F11" s="111">
        <v>0.0</v>
      </c>
      <c r="G11" s="111">
        <v>0.0</v>
      </c>
      <c r="H11" s="111">
        <v>0.0</v>
      </c>
      <c r="I11" s="111">
        <v>0.0</v>
      </c>
      <c r="J11" s="96">
        <f t="shared" si="2"/>
        <v>232.25</v>
      </c>
      <c r="L11" s="116" t="s">
        <v>78</v>
      </c>
      <c r="M11" s="117"/>
      <c r="N11" s="118"/>
      <c r="O11" s="119"/>
    </row>
    <row r="12">
      <c r="A12" s="2">
        <v>11.0</v>
      </c>
      <c r="B12" s="91">
        <v>45333.0</v>
      </c>
      <c r="C12" s="111">
        <v>0.0</v>
      </c>
      <c r="D12" s="111">
        <f>123</f>
        <v>123</v>
      </c>
      <c r="E12" s="111">
        <v>0.0</v>
      </c>
      <c r="F12" s="111">
        <v>0.0</v>
      </c>
      <c r="G12" s="111">
        <v>0.0</v>
      </c>
      <c r="H12" s="111">
        <v>0.0</v>
      </c>
      <c r="I12" s="111">
        <v>0.0</v>
      </c>
      <c r="J12" s="96">
        <f t="shared" si="2"/>
        <v>123</v>
      </c>
      <c r="L12" s="120" t="s">
        <v>22</v>
      </c>
      <c r="M12" s="121" t="s">
        <v>24</v>
      </c>
      <c r="N12" s="121" t="s">
        <v>79</v>
      </c>
      <c r="O12" s="122"/>
    </row>
    <row r="13">
      <c r="A13" s="2">
        <v>12.0</v>
      </c>
      <c r="B13" s="91">
        <v>45334.0</v>
      </c>
      <c r="C13" s="111">
        <v>0.0</v>
      </c>
      <c r="D13" s="111">
        <f>360.99</f>
        <v>360.99</v>
      </c>
      <c r="E13" s="111">
        <v>0.0</v>
      </c>
      <c r="F13" s="111">
        <v>0.0</v>
      </c>
      <c r="G13" s="111">
        <v>0.0</v>
      </c>
      <c r="H13" s="111">
        <f>229.98</f>
        <v>229.98</v>
      </c>
      <c r="I13" s="111">
        <f>125.22</f>
        <v>125.22</v>
      </c>
      <c r="J13" s="96">
        <f t="shared" si="2"/>
        <v>716.19</v>
      </c>
      <c r="L13" s="123">
        <f>R2</f>
        <v>14201.97</v>
      </c>
      <c r="M13" s="124">
        <v>0.0</v>
      </c>
      <c r="N13" s="124">
        <v>0.0</v>
      </c>
      <c r="O13" s="125"/>
    </row>
    <row r="14">
      <c r="A14" s="2">
        <v>13.0</v>
      </c>
      <c r="B14" s="91">
        <v>45335.0</v>
      </c>
      <c r="C14" s="111">
        <f>101.16+245</f>
        <v>346.16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96">
        <f t="shared" si="2"/>
        <v>346.16</v>
      </c>
      <c r="L14" s="126" t="s">
        <v>81</v>
      </c>
      <c r="M14" s="127">
        <f>Sum(L13:O13)</f>
        <v>14201.97</v>
      </c>
      <c r="N14" s="118"/>
      <c r="O14" s="119"/>
    </row>
    <row r="15">
      <c r="A15" s="2">
        <v>14.0</v>
      </c>
      <c r="B15" s="91">
        <v>45336.0</v>
      </c>
      <c r="C15" s="111">
        <f>48.65+241.71</f>
        <v>290.36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f>29.9</f>
        <v>29.9</v>
      </c>
      <c r="J15" s="96">
        <f t="shared" si="2"/>
        <v>320.26</v>
      </c>
    </row>
    <row r="16">
      <c r="A16" s="2">
        <v>15.0</v>
      </c>
      <c r="B16" s="91">
        <v>45337.0</v>
      </c>
      <c r="C16" s="111">
        <v>0.0</v>
      </c>
      <c r="D16" s="111">
        <v>0.0</v>
      </c>
      <c r="E16" s="111">
        <f>193.95</f>
        <v>193.95</v>
      </c>
      <c r="F16" s="111">
        <v>0.0</v>
      </c>
      <c r="G16" s="111">
        <v>0.0</v>
      </c>
      <c r="H16" s="111">
        <f>122.5</f>
        <v>122.5</v>
      </c>
      <c r="I16" s="111">
        <v>0.0</v>
      </c>
      <c r="J16" s="96">
        <f t="shared" si="2"/>
        <v>316.45</v>
      </c>
    </row>
    <row r="17">
      <c r="A17" s="2">
        <v>16.0</v>
      </c>
      <c r="B17" s="91">
        <v>45338.0</v>
      </c>
      <c r="C17" s="111">
        <f>190</f>
        <v>190</v>
      </c>
      <c r="D17" s="111">
        <f>312.5</f>
        <v>312.5</v>
      </c>
      <c r="E17" s="111">
        <v>0.0</v>
      </c>
      <c r="F17" s="111">
        <v>0.0</v>
      </c>
      <c r="G17" s="111">
        <v>0.0</v>
      </c>
      <c r="H17" s="111">
        <f>301.46</f>
        <v>301.46</v>
      </c>
      <c r="I17" s="111">
        <f>450</f>
        <v>450</v>
      </c>
      <c r="J17" s="96">
        <f t="shared" si="2"/>
        <v>1253.96</v>
      </c>
    </row>
    <row r="18">
      <c r="A18" s="2">
        <v>17.0</v>
      </c>
      <c r="B18" s="91">
        <v>45339.0</v>
      </c>
      <c r="C18" s="111">
        <v>0.0</v>
      </c>
      <c r="D18" s="111">
        <f>530</f>
        <v>530</v>
      </c>
      <c r="E18" s="111">
        <f>102.95</f>
        <v>102.95</v>
      </c>
      <c r="F18" s="111">
        <v>0.0</v>
      </c>
      <c r="G18" s="111">
        <v>0.0</v>
      </c>
      <c r="H18" s="111">
        <v>0.0</v>
      </c>
      <c r="I18" s="111">
        <f>80</f>
        <v>80</v>
      </c>
      <c r="J18" s="96">
        <f t="shared" si="2"/>
        <v>712.95</v>
      </c>
    </row>
    <row r="19">
      <c r="A19" s="2">
        <v>18.0</v>
      </c>
      <c r="B19" s="91">
        <v>45340.0</v>
      </c>
      <c r="C19" s="111">
        <f>59.8+67.73</f>
        <v>127.53</v>
      </c>
      <c r="D19" s="111">
        <v>0.0</v>
      </c>
      <c r="E19" s="111">
        <v>0.0</v>
      </c>
      <c r="F19" s="111">
        <v>0.0</v>
      </c>
      <c r="G19" s="111">
        <v>0.0</v>
      </c>
      <c r="H19" s="111">
        <v>0.0</v>
      </c>
      <c r="I19" s="111">
        <v>0.0</v>
      </c>
      <c r="J19" s="96">
        <f t="shared" si="2"/>
        <v>127.53</v>
      </c>
    </row>
    <row r="20">
      <c r="A20" s="2">
        <v>19.0</v>
      </c>
      <c r="B20" s="91">
        <v>45341.0</v>
      </c>
      <c r="C20" s="111">
        <f>186</f>
        <v>186</v>
      </c>
      <c r="D20" s="111">
        <f>125</f>
        <v>125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96">
        <f t="shared" si="2"/>
        <v>311</v>
      </c>
    </row>
    <row r="21">
      <c r="A21" s="2">
        <v>20.0</v>
      </c>
      <c r="B21" s="91">
        <v>45342.0</v>
      </c>
      <c r="C21" s="111">
        <v>0.0</v>
      </c>
      <c r="D21" s="111">
        <f>180</f>
        <v>180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96">
        <f t="shared" si="2"/>
        <v>180</v>
      </c>
    </row>
    <row r="22">
      <c r="A22" s="2">
        <v>21.0</v>
      </c>
      <c r="B22" s="91">
        <v>45343.0</v>
      </c>
      <c r="C22" s="111">
        <f>132.57</f>
        <v>132.57</v>
      </c>
      <c r="D22" s="111">
        <v>0.0</v>
      </c>
      <c r="E22" s="111">
        <v>0.0</v>
      </c>
      <c r="F22" s="111">
        <v>0.0</v>
      </c>
      <c r="G22" s="111">
        <v>0.0</v>
      </c>
      <c r="H22" s="111">
        <f>106.25</f>
        <v>106.25</v>
      </c>
      <c r="I22" s="111">
        <v>0.0</v>
      </c>
      <c r="J22" s="96">
        <f t="shared" si="2"/>
        <v>238.82</v>
      </c>
    </row>
    <row r="23">
      <c r="A23" s="2">
        <v>22.0</v>
      </c>
      <c r="B23" s="91">
        <v>45344.0</v>
      </c>
      <c r="C23" s="111">
        <v>0.0</v>
      </c>
      <c r="D23" s="111">
        <f>157.25</f>
        <v>157.25</v>
      </c>
      <c r="E23" s="111">
        <v>0.0</v>
      </c>
      <c r="F23" s="111">
        <v>0.0</v>
      </c>
      <c r="G23" s="111">
        <v>0.0</v>
      </c>
      <c r="H23" s="111">
        <f>67.49</f>
        <v>67.49</v>
      </c>
      <c r="I23" s="111">
        <f>19.89</f>
        <v>19.89</v>
      </c>
      <c r="J23" s="96">
        <f t="shared" si="2"/>
        <v>244.63</v>
      </c>
    </row>
    <row r="24">
      <c r="A24" s="2">
        <v>23.0</v>
      </c>
      <c r="B24" s="91">
        <v>45345.0</v>
      </c>
      <c r="C24" s="111">
        <f>340</f>
        <v>340</v>
      </c>
      <c r="D24" s="111">
        <f>76.5</f>
        <v>76.5</v>
      </c>
      <c r="E24" s="111">
        <v>0.0</v>
      </c>
      <c r="F24" s="111">
        <v>0.0</v>
      </c>
      <c r="G24" s="111">
        <v>0.0</v>
      </c>
      <c r="H24" s="111">
        <f>599.8</f>
        <v>599.8</v>
      </c>
      <c r="I24" s="111">
        <f>20</f>
        <v>20</v>
      </c>
      <c r="J24" s="96">
        <f t="shared" si="2"/>
        <v>1036.3</v>
      </c>
    </row>
    <row r="25">
      <c r="A25" s="2">
        <v>24.0</v>
      </c>
      <c r="B25" s="91">
        <v>45346.0</v>
      </c>
      <c r="C25" s="111">
        <f>260.25+885</f>
        <v>1145.25</v>
      </c>
      <c r="D25" s="111">
        <f>560</f>
        <v>560</v>
      </c>
      <c r="E25" s="111">
        <v>0.0</v>
      </c>
      <c r="F25" s="111">
        <v>0.0</v>
      </c>
      <c r="G25" s="111">
        <v>0.0</v>
      </c>
      <c r="H25" s="111">
        <v>0.0</v>
      </c>
      <c r="I25" s="111">
        <v>0.0</v>
      </c>
      <c r="J25" s="96">
        <f t="shared" si="2"/>
        <v>1705.25</v>
      </c>
    </row>
    <row r="26">
      <c r="A26" s="2">
        <v>25.0</v>
      </c>
      <c r="B26" s="91">
        <v>45347.0</v>
      </c>
      <c r="C26" s="111">
        <f>56.7+64</f>
        <v>120.7</v>
      </c>
      <c r="D26" s="111">
        <v>0.0</v>
      </c>
      <c r="E26" s="111">
        <f>100</f>
        <v>100</v>
      </c>
      <c r="F26" s="111">
        <v>0.0</v>
      </c>
      <c r="G26" s="111">
        <v>0.0</v>
      </c>
      <c r="H26" s="111">
        <v>0.0</v>
      </c>
      <c r="I26" s="111">
        <v>0.0</v>
      </c>
      <c r="J26" s="96">
        <f t="shared" si="2"/>
        <v>220.7</v>
      </c>
    </row>
    <row r="27">
      <c r="A27" s="2">
        <v>26.0</v>
      </c>
      <c r="B27" s="91">
        <v>45348.0</v>
      </c>
      <c r="C27" s="111">
        <f>242.5+649.7+26</f>
        <v>918.2</v>
      </c>
      <c r="D27" s="111">
        <v>0.0</v>
      </c>
      <c r="E27" s="111">
        <v>0.0</v>
      </c>
      <c r="F27" s="111">
        <v>0.0</v>
      </c>
      <c r="G27" s="111">
        <v>0.0</v>
      </c>
      <c r="H27" s="111">
        <f>94.37</f>
        <v>94.37</v>
      </c>
      <c r="I27" s="111">
        <v>0.0</v>
      </c>
      <c r="J27" s="96">
        <f t="shared" si="2"/>
        <v>1012.57</v>
      </c>
    </row>
    <row r="28">
      <c r="A28" s="2">
        <v>27.0</v>
      </c>
      <c r="B28" s="91">
        <v>45349.0</v>
      </c>
      <c r="C28" s="111">
        <f>60+51</f>
        <v>111</v>
      </c>
      <c r="D28" s="111">
        <v>0.0</v>
      </c>
      <c r="E28" s="111">
        <v>0.0</v>
      </c>
      <c r="F28" s="111">
        <v>0.0</v>
      </c>
      <c r="G28" s="111">
        <v>0.0</v>
      </c>
      <c r="H28" s="111">
        <f>100</f>
        <v>100</v>
      </c>
      <c r="I28" s="111">
        <f>169.99</f>
        <v>169.99</v>
      </c>
      <c r="J28" s="96">
        <f t="shared" si="2"/>
        <v>380.99</v>
      </c>
    </row>
    <row r="29">
      <c r="A29" s="2">
        <v>28.0</v>
      </c>
      <c r="B29" s="91">
        <v>45350.0</v>
      </c>
      <c r="C29" s="111">
        <v>0.0</v>
      </c>
      <c r="D29" s="111">
        <v>0.0</v>
      </c>
      <c r="E29" s="111">
        <v>0.0</v>
      </c>
      <c r="F29" s="111">
        <v>0.0</v>
      </c>
      <c r="G29" s="111">
        <v>0.0</v>
      </c>
      <c r="H29" s="111">
        <f>1850.52</f>
        <v>1850.52</v>
      </c>
      <c r="I29" s="111">
        <v>0.0</v>
      </c>
      <c r="J29" s="96">
        <f t="shared" si="2"/>
        <v>1850.52</v>
      </c>
    </row>
    <row r="30">
      <c r="A30" s="2">
        <v>29.0</v>
      </c>
      <c r="B30" s="91">
        <v>45351.0</v>
      </c>
      <c r="C30" s="111">
        <f>210.95</f>
        <v>210.95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96">
        <f t="shared" si="2"/>
        <v>210.95</v>
      </c>
    </row>
  </sheetData>
  <mergeCells count="2">
    <mergeCell ref="L11:N11"/>
    <mergeCell ref="M14:N1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29"/>
    <col customWidth="1" min="2" max="2" width="10.14"/>
    <col customWidth="1" min="3" max="3" width="7.29"/>
    <col customWidth="1" min="4" max="4" width="8.0"/>
    <col customWidth="1" min="5" max="5" width="9.29"/>
    <col customWidth="1" min="6" max="6" width="5.0"/>
    <col customWidth="1" min="7" max="7" width="7.0"/>
    <col customWidth="1" min="8" max="8" width="8.0"/>
    <col customWidth="1" min="9" max="9" width="9.14"/>
    <col customWidth="1" min="10" max="10" width="9.86"/>
    <col customWidth="1" min="11" max="11" width="14.57"/>
    <col customWidth="1" min="12" max="12" width="9.29"/>
    <col customWidth="1" min="13" max="13" width="12.14"/>
    <col customWidth="1" min="14" max="14" width="11.57"/>
    <col customWidth="1" min="15" max="15" width="11.0"/>
    <col customWidth="1" min="16" max="17" width="10.86"/>
    <col customWidth="1" min="18" max="18" width="9.86"/>
  </cols>
  <sheetData>
    <row r="1">
      <c r="B1" s="106" t="s">
        <v>60</v>
      </c>
      <c r="C1" s="107" t="s">
        <v>34</v>
      </c>
      <c r="D1" s="128" t="s">
        <v>82</v>
      </c>
      <c r="E1" s="108" t="s">
        <v>61</v>
      </c>
      <c r="F1" s="108" t="s">
        <v>62</v>
      </c>
      <c r="G1" s="108" t="s">
        <v>40</v>
      </c>
      <c r="H1" s="108" t="s">
        <v>36</v>
      </c>
      <c r="I1" s="108" t="s">
        <v>66</v>
      </c>
      <c r="J1" s="109" t="s">
        <v>67</v>
      </c>
      <c r="K1" s="48" t="s">
        <v>68</v>
      </c>
      <c r="L1" s="50" t="s">
        <v>69</v>
      </c>
      <c r="M1" s="48" t="s">
        <v>70</v>
      </c>
      <c r="N1" s="53" t="s">
        <v>83</v>
      </c>
      <c r="O1" s="57" t="s">
        <v>74</v>
      </c>
      <c r="P1" s="59" t="s">
        <v>75</v>
      </c>
      <c r="Q1" s="59" t="s">
        <v>77</v>
      </c>
      <c r="R1" s="50" t="s">
        <v>45</v>
      </c>
    </row>
    <row r="2">
      <c r="A2" s="2">
        <v>1.0</v>
      </c>
      <c r="B2" s="91">
        <v>45383.0</v>
      </c>
      <c r="C2" s="111">
        <f>39.9+445+153.75</f>
        <v>638.65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1">
        <v>0.0</v>
      </c>
      <c r="J2" s="96">
        <f t="shared" ref="J2:J31" si="2">SUMIF(C2:I2,"&lt;&gt;")</f>
        <v>638.65</v>
      </c>
      <c r="K2" s="112">
        <f>+SUM(C2:C31,D2:D31)/ COUNTIFS(C2:C31, "&lt;&gt;", D2:D31, "&lt;&gt;")</f>
        <v>360.5446667</v>
      </c>
      <c r="L2" s="113" t="str">
        <f>+R2 / COUNTIF(C2:C31, "&lt;&gt;")</f>
        <v>#REF!</v>
      </c>
      <c r="M2" s="114">
        <f t="shared" ref="M2:O2" si="1">+SUM(C2:C31)</f>
        <v>5723.24</v>
      </c>
      <c r="N2" s="114">
        <f t="shared" si="1"/>
        <v>5093.1</v>
      </c>
      <c r="O2" s="113">
        <f t="shared" si="1"/>
        <v>2147.89</v>
      </c>
      <c r="P2" s="113" t="str">
        <f>Sum(H2:H31)</f>
        <v>#REF!</v>
      </c>
      <c r="Q2" s="113">
        <f>+SUM(I2:I31)</f>
        <v>11275.55</v>
      </c>
      <c r="R2" s="115" t="str">
        <f>+SUM(C2:I31)</f>
        <v>#REF!</v>
      </c>
    </row>
    <row r="3">
      <c r="A3" s="2">
        <v>2.0</v>
      </c>
      <c r="B3" s="91">
        <v>45384.0</v>
      </c>
      <c r="C3" s="111">
        <f>153.52</f>
        <v>153.52</v>
      </c>
      <c r="D3" s="111">
        <v>0.0</v>
      </c>
      <c r="E3" s="111">
        <f>860</f>
        <v>860</v>
      </c>
      <c r="F3" s="111">
        <v>0.0</v>
      </c>
      <c r="G3" s="111">
        <v>0.0</v>
      </c>
      <c r="H3" s="111">
        <v>0.0</v>
      </c>
      <c r="I3" s="111">
        <f>13.74</f>
        <v>13.74</v>
      </c>
      <c r="J3" s="96">
        <f t="shared" si="2"/>
        <v>1027.26</v>
      </c>
      <c r="R3" s="105"/>
    </row>
    <row r="4">
      <c r="A4" s="2">
        <v>3.0</v>
      </c>
      <c r="B4" s="91">
        <v>45385.0</v>
      </c>
      <c r="C4" s="111">
        <v>0.0</v>
      </c>
      <c r="D4" s="111">
        <f>423+390</f>
        <v>813</v>
      </c>
      <c r="E4" s="111">
        <v>0.0</v>
      </c>
      <c r="F4" s="111">
        <v>0.0</v>
      </c>
      <c r="G4" s="111">
        <v>0.0</v>
      </c>
      <c r="H4" s="111">
        <v>0.0</v>
      </c>
      <c r="I4" s="111">
        <v>0.0</v>
      </c>
      <c r="J4" s="96">
        <f t="shared" si="2"/>
        <v>813</v>
      </c>
    </row>
    <row r="5">
      <c r="A5" s="2">
        <v>4.0</v>
      </c>
      <c r="B5" s="91">
        <v>45386.0</v>
      </c>
      <c r="C5" s="111">
        <v>0.0</v>
      </c>
      <c r="D5" s="111">
        <v>0.0</v>
      </c>
      <c r="E5" s="111">
        <v>0.0</v>
      </c>
      <c r="F5" s="111">
        <v>0.0</v>
      </c>
      <c r="G5" s="111">
        <v>0.0</v>
      </c>
      <c r="H5" s="111">
        <f>216.81+77.49</f>
        <v>294.3</v>
      </c>
      <c r="I5" s="111">
        <v>0.0</v>
      </c>
      <c r="J5" s="96">
        <f t="shared" si="2"/>
        <v>294.3</v>
      </c>
    </row>
    <row r="6">
      <c r="A6" s="2">
        <v>5.0</v>
      </c>
      <c r="B6" s="91">
        <v>45387.0</v>
      </c>
      <c r="C6" s="111">
        <f>40.45</f>
        <v>40.45</v>
      </c>
      <c r="D6" s="111">
        <f>152+199</f>
        <v>351</v>
      </c>
      <c r="E6" s="111">
        <v>0.0</v>
      </c>
      <c r="F6" s="111">
        <v>0.0</v>
      </c>
      <c r="G6" s="111">
        <v>0.0</v>
      </c>
      <c r="H6" s="111">
        <v>0.0</v>
      </c>
      <c r="I6" s="111">
        <f>39</f>
        <v>39</v>
      </c>
      <c r="J6" s="96">
        <f t="shared" si="2"/>
        <v>430.45</v>
      </c>
    </row>
    <row r="7">
      <c r="A7" s="2">
        <v>6.0</v>
      </c>
      <c r="B7" s="91">
        <v>45388.0</v>
      </c>
      <c r="C7" s="111">
        <v>0.0</v>
      </c>
      <c r="D7" s="111">
        <f>555+460</f>
        <v>1015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96">
        <f t="shared" si="2"/>
        <v>1015</v>
      </c>
    </row>
    <row r="8">
      <c r="A8" s="2">
        <v>7.0</v>
      </c>
      <c r="B8" s="91">
        <v>45389.0</v>
      </c>
      <c r="C8" s="111">
        <f>274</f>
        <v>274</v>
      </c>
      <c r="D8" s="111">
        <f t="shared" ref="D8:D9" si="3">172.55</f>
        <v>172.55</v>
      </c>
      <c r="E8" s="111">
        <f>148.95</f>
        <v>148.95</v>
      </c>
      <c r="F8" s="111">
        <v>0.0</v>
      </c>
      <c r="G8" s="111">
        <f>245.9</f>
        <v>245.9</v>
      </c>
      <c r="H8" s="111">
        <v>0.0</v>
      </c>
      <c r="I8" s="111">
        <v>0.0</v>
      </c>
      <c r="J8" s="96">
        <f t="shared" si="2"/>
        <v>841.4</v>
      </c>
    </row>
    <row r="9">
      <c r="A9" s="2">
        <v>8.0</v>
      </c>
      <c r="B9" s="91">
        <v>45390.0</v>
      </c>
      <c r="C9" s="111">
        <f>243.41</f>
        <v>243.41</v>
      </c>
      <c r="D9" s="111">
        <f t="shared" si="3"/>
        <v>172.55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96">
        <f t="shared" si="2"/>
        <v>415.96</v>
      </c>
      <c r="L9" s="105"/>
      <c r="S9" s="2">
        <f>44770.7</f>
        <v>44770.7</v>
      </c>
    </row>
    <row r="10">
      <c r="A10" s="2">
        <v>9.0</v>
      </c>
      <c r="B10" s="91">
        <v>45391.0</v>
      </c>
      <c r="C10" s="111">
        <f>46</f>
        <v>46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f>300</f>
        <v>300</v>
      </c>
      <c r="J10" s="96">
        <f t="shared" si="2"/>
        <v>346</v>
      </c>
      <c r="S10" s="2" t="str">
        <f>S9-S12</f>
        <v>#REF!</v>
      </c>
      <c r="T10" s="2" t="str">
        <f>S10+4702</f>
        <v>#REF!</v>
      </c>
    </row>
    <row r="11">
      <c r="A11" s="2">
        <v>10.0</v>
      </c>
      <c r="B11" s="91">
        <v>45392.0</v>
      </c>
      <c r="C11" s="111">
        <v>0.0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I11" s="111">
        <v>0.0</v>
      </c>
      <c r="J11" s="96">
        <f t="shared" si="2"/>
        <v>0</v>
      </c>
      <c r="L11" s="116" t="s">
        <v>78</v>
      </c>
      <c r="M11" s="118"/>
      <c r="N11" s="119"/>
      <c r="O11" s="2" t="s">
        <v>28</v>
      </c>
      <c r="P11" s="2" t="s">
        <v>26</v>
      </c>
      <c r="Q11" s="2" t="s">
        <v>84</v>
      </c>
      <c r="R11" s="2" t="s">
        <v>24</v>
      </c>
    </row>
    <row r="12">
      <c r="A12" s="2">
        <v>11.0</v>
      </c>
      <c r="B12" s="91">
        <v>45393.0</v>
      </c>
      <c r="C12" s="111">
        <f>302.27+201.05</f>
        <v>503.32</v>
      </c>
      <c r="D12" s="111">
        <v>0.0</v>
      </c>
      <c r="E12" s="111">
        <v>0.0</v>
      </c>
      <c r="F12" s="111">
        <v>0.0</v>
      </c>
      <c r="G12" s="111">
        <v>0.0</v>
      </c>
      <c r="H12" s="111">
        <v>0.0</v>
      </c>
      <c r="I12" s="111">
        <v>0.0</v>
      </c>
      <c r="J12" s="96">
        <f t="shared" si="2"/>
        <v>503.32</v>
      </c>
      <c r="L12" s="120" t="s">
        <v>22</v>
      </c>
      <c r="M12" s="121" t="s">
        <v>24</v>
      </c>
      <c r="N12" s="122"/>
      <c r="O12" s="2">
        <f>15898.25</f>
        <v>15898.25</v>
      </c>
      <c r="P12" s="2">
        <f>17793.59</f>
        <v>17793.59</v>
      </c>
      <c r="Q12" s="2" t="str">
        <f>#REF!</f>
        <v>#REF!</v>
      </c>
      <c r="R12" s="2">
        <v>2857.5</v>
      </c>
      <c r="S12" s="2" t="str">
        <f>SUM(O12:R12)</f>
        <v>#REF!</v>
      </c>
    </row>
    <row r="13">
      <c r="A13" s="2">
        <v>12.0</v>
      </c>
      <c r="B13" s="91">
        <v>45394.0</v>
      </c>
      <c r="C13" s="111">
        <f>250+130+16.09+508.93+211.5+100.75</f>
        <v>1217.27</v>
      </c>
      <c r="D13" s="111">
        <v>0.0</v>
      </c>
      <c r="E13" s="111">
        <v>0.0</v>
      </c>
      <c r="F13" s="111">
        <v>0.0</v>
      </c>
      <c r="G13" s="111">
        <v>0.0</v>
      </c>
      <c r="H13" s="111">
        <v>0.0</v>
      </c>
      <c r="I13" s="111">
        <v>0.0</v>
      </c>
      <c r="J13" s="96">
        <f t="shared" si="2"/>
        <v>1217.27</v>
      </c>
      <c r="L13" s="123" t="str">
        <f>R2</f>
        <v>#REF!</v>
      </c>
      <c r="M13" s="124">
        <v>0.0</v>
      </c>
      <c r="N13" s="125"/>
    </row>
    <row r="14">
      <c r="A14" s="2">
        <v>13.0</v>
      </c>
      <c r="B14" s="91">
        <v>45395.0</v>
      </c>
      <c r="C14" s="111">
        <f>143</f>
        <v>143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96">
        <f t="shared" si="2"/>
        <v>143</v>
      </c>
      <c r="L14" s="126" t="s">
        <v>81</v>
      </c>
      <c r="M14" s="129" t="str">
        <f>Sum(L13:N13)</f>
        <v>#REF!</v>
      </c>
      <c r="N14" s="119"/>
    </row>
    <row r="15">
      <c r="A15" s="2">
        <v>14.0</v>
      </c>
      <c r="B15" s="91">
        <v>45396.0</v>
      </c>
      <c r="C15" s="111">
        <f>58</f>
        <v>58</v>
      </c>
      <c r="D15" s="111">
        <f>685</f>
        <v>685</v>
      </c>
      <c r="E15" s="111">
        <v>0.0</v>
      </c>
      <c r="F15" s="111">
        <v>0.0</v>
      </c>
      <c r="G15" s="111">
        <v>0.0</v>
      </c>
      <c r="H15" s="111">
        <v>0.0</v>
      </c>
      <c r="I15" s="111">
        <f>29.9</f>
        <v>29.9</v>
      </c>
      <c r="J15" s="96">
        <f t="shared" si="2"/>
        <v>772.9</v>
      </c>
    </row>
    <row r="16">
      <c r="A16" s="2">
        <v>15.0</v>
      </c>
      <c r="B16" s="91">
        <v>45397.0</v>
      </c>
      <c r="C16" s="111">
        <f>151.5+80.5+28.59+5.51</f>
        <v>266.1</v>
      </c>
      <c r="D16" s="111">
        <f>210</f>
        <v>210</v>
      </c>
      <c r="E16" s="111">
        <v>0.0</v>
      </c>
      <c r="F16" s="111">
        <v>0.0</v>
      </c>
      <c r="G16" s="111">
        <v>0.0</v>
      </c>
      <c r="H16" s="111">
        <f>4958.33+122.5+882.22</f>
        <v>5963.05</v>
      </c>
      <c r="I16" s="111">
        <v>0.0</v>
      </c>
      <c r="J16" s="96">
        <f t="shared" si="2"/>
        <v>6439.15</v>
      </c>
    </row>
    <row r="17">
      <c r="A17" s="2">
        <v>16.0</v>
      </c>
      <c r="B17" s="91">
        <v>45398.0</v>
      </c>
      <c r="C17" s="111">
        <f>34.59+34</f>
        <v>68.59</v>
      </c>
      <c r="D17" s="111">
        <v>0.0</v>
      </c>
      <c r="E17" s="111">
        <v>0.0</v>
      </c>
      <c r="F17" s="111">
        <v>0.0</v>
      </c>
      <c r="G17" s="111">
        <v>0.0</v>
      </c>
      <c r="H17" s="111">
        <f>301.46</f>
        <v>301.46</v>
      </c>
      <c r="I17" s="111">
        <v>0.0</v>
      </c>
      <c r="J17" s="96">
        <f t="shared" si="2"/>
        <v>370.05</v>
      </c>
    </row>
    <row r="18">
      <c r="A18" s="2">
        <v>17.0</v>
      </c>
      <c r="B18" s="91">
        <v>45399.0</v>
      </c>
      <c r="C18" s="111">
        <v>0.0</v>
      </c>
      <c r="D18" s="111">
        <f>199+55</f>
        <v>254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96">
        <f t="shared" si="2"/>
        <v>254</v>
      </c>
    </row>
    <row r="19">
      <c r="A19" s="2">
        <v>18.0</v>
      </c>
      <c r="B19" s="91">
        <v>45400.0</v>
      </c>
      <c r="C19" s="111">
        <v>0.0</v>
      </c>
      <c r="D19" s="111">
        <f>32</f>
        <v>32</v>
      </c>
      <c r="E19" s="111">
        <v>0.0</v>
      </c>
      <c r="F19" s="111">
        <v>0.0</v>
      </c>
      <c r="G19" s="111">
        <v>0.0</v>
      </c>
      <c r="H19" s="111">
        <v>0.0</v>
      </c>
      <c r="I19" s="111">
        <v>0.0</v>
      </c>
      <c r="J19" s="96">
        <f t="shared" si="2"/>
        <v>32</v>
      </c>
    </row>
    <row r="20">
      <c r="A20" s="2">
        <v>19.0</v>
      </c>
      <c r="B20" s="91">
        <v>45401.0</v>
      </c>
      <c r="C20" s="111">
        <f>40</f>
        <v>40</v>
      </c>
      <c r="D20" s="111">
        <v>0.0</v>
      </c>
      <c r="E20" s="111">
        <f>860</f>
        <v>860</v>
      </c>
      <c r="F20" s="111">
        <v>0.0</v>
      </c>
      <c r="G20" s="111">
        <v>0.0</v>
      </c>
      <c r="H20" s="111">
        <v>0.0</v>
      </c>
      <c r="I20" s="111">
        <v>0.0</v>
      </c>
      <c r="J20" s="96">
        <f t="shared" si="2"/>
        <v>900</v>
      </c>
    </row>
    <row r="21">
      <c r="A21" s="2">
        <v>20.0</v>
      </c>
      <c r="B21" s="91">
        <v>45402.0</v>
      </c>
      <c r="C21" s="111">
        <f>193.5+105.19+68.17+12</f>
        <v>378.86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f>270</f>
        <v>270</v>
      </c>
      <c r="J21" s="96">
        <f t="shared" si="2"/>
        <v>648.86</v>
      </c>
    </row>
    <row r="22">
      <c r="A22" s="2">
        <v>21.0</v>
      </c>
      <c r="B22" s="91">
        <v>45403.0</v>
      </c>
      <c r="C22" s="111">
        <v>0.0</v>
      </c>
      <c r="D22" s="111">
        <v>0.0</v>
      </c>
      <c r="E22" s="111">
        <v>0.0</v>
      </c>
      <c r="F22" s="111">
        <v>0.0</v>
      </c>
      <c r="G22" s="111">
        <v>0.0</v>
      </c>
      <c r="H22" s="111">
        <f>106.25</f>
        <v>106.25</v>
      </c>
      <c r="I22" s="111">
        <v>0.0</v>
      </c>
      <c r="J22" s="96">
        <f t="shared" si="2"/>
        <v>106.25</v>
      </c>
    </row>
    <row r="23">
      <c r="A23" s="2">
        <v>22.0</v>
      </c>
      <c r="B23" s="91">
        <v>45404.0</v>
      </c>
      <c r="C23" s="111">
        <v>0.0</v>
      </c>
      <c r="D23" s="111">
        <v>0.0</v>
      </c>
      <c r="E23" s="111">
        <v>0.0</v>
      </c>
      <c r="F23" s="111">
        <v>0.0</v>
      </c>
      <c r="G23" s="111">
        <v>0.0</v>
      </c>
      <c r="H23" s="111">
        <f>67.49</f>
        <v>67.49</v>
      </c>
      <c r="I23" s="111">
        <f>1500+790+130+7833</f>
        <v>10253</v>
      </c>
      <c r="J23" s="96">
        <f t="shared" si="2"/>
        <v>10320.49</v>
      </c>
    </row>
    <row r="24">
      <c r="A24" s="2">
        <v>23.0</v>
      </c>
      <c r="B24" s="91">
        <v>45405.0</v>
      </c>
      <c r="C24" s="111">
        <f>46</f>
        <v>46</v>
      </c>
      <c r="D24" s="111">
        <v>0.0</v>
      </c>
      <c r="E24" s="111">
        <v>0.0</v>
      </c>
      <c r="F24" s="111">
        <v>0.0</v>
      </c>
      <c r="G24" s="111">
        <v>0.0</v>
      </c>
      <c r="H24" s="111">
        <f>599.8</f>
        <v>599.8</v>
      </c>
      <c r="I24" s="111">
        <f>19.91</f>
        <v>19.91</v>
      </c>
      <c r="J24" s="96">
        <f t="shared" si="2"/>
        <v>665.71</v>
      </c>
    </row>
    <row r="25">
      <c r="A25" s="2">
        <v>24.0</v>
      </c>
      <c r="B25" s="91">
        <v>45406.0</v>
      </c>
      <c r="C25" s="111">
        <f>782.05+505.19+13</f>
        <v>1300.24</v>
      </c>
      <c r="D25" s="111">
        <v>0.0</v>
      </c>
      <c r="E25" s="111">
        <v>0.0</v>
      </c>
      <c r="F25" s="111">
        <v>0.0</v>
      </c>
      <c r="G25" s="111">
        <v>0.0</v>
      </c>
      <c r="H25" s="111">
        <v>0.0</v>
      </c>
      <c r="I25" s="111">
        <v>0.0</v>
      </c>
      <c r="J25" s="96">
        <f t="shared" si="2"/>
        <v>1300.24</v>
      </c>
    </row>
    <row r="26">
      <c r="A26" s="2">
        <v>25.0</v>
      </c>
      <c r="B26" s="91">
        <v>45407.0</v>
      </c>
      <c r="C26" s="111">
        <v>0.0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f>350</f>
        <v>350</v>
      </c>
      <c r="J26" s="96">
        <f t="shared" si="2"/>
        <v>350</v>
      </c>
    </row>
    <row r="27">
      <c r="A27" s="2">
        <v>26.0</v>
      </c>
      <c r="B27" s="91">
        <v>45408.0</v>
      </c>
      <c r="C27" s="111">
        <v>0.0</v>
      </c>
      <c r="D27" s="111">
        <v>0.0</v>
      </c>
      <c r="E27" s="111">
        <v>0.0</v>
      </c>
      <c r="F27" s="111">
        <v>0.0</v>
      </c>
      <c r="G27" s="111">
        <v>0.0</v>
      </c>
      <c r="H27" s="111">
        <v>0.0</v>
      </c>
      <c r="I27" s="111">
        <v>0.0</v>
      </c>
      <c r="J27" s="96">
        <f t="shared" si="2"/>
        <v>0</v>
      </c>
    </row>
    <row r="28">
      <c r="A28" s="2">
        <v>27.0</v>
      </c>
      <c r="B28" s="91">
        <v>45409.0</v>
      </c>
      <c r="C28" s="111">
        <v>0.0</v>
      </c>
      <c r="D28" s="111">
        <f>1388</f>
        <v>1388</v>
      </c>
      <c r="E28" s="111">
        <f>99.95</f>
        <v>99.95</v>
      </c>
      <c r="F28" s="111">
        <v>0.0</v>
      </c>
      <c r="G28" s="111">
        <v>0.0</v>
      </c>
      <c r="H28" s="111">
        <f>100</f>
        <v>100</v>
      </c>
      <c r="I28" s="111">
        <v>0.0</v>
      </c>
      <c r="J28" s="96">
        <f t="shared" si="2"/>
        <v>1587.95</v>
      </c>
    </row>
    <row r="29">
      <c r="A29" s="2">
        <v>28.0</v>
      </c>
      <c r="B29" s="91">
        <v>45410.0</v>
      </c>
      <c r="C29" s="111">
        <v>0.0</v>
      </c>
      <c r="D29" s="111">
        <v>0.0</v>
      </c>
      <c r="E29" s="111">
        <f>18+150</f>
        <v>168</v>
      </c>
      <c r="F29" s="111">
        <v>0.0</v>
      </c>
      <c r="G29" s="111">
        <v>0.0</v>
      </c>
      <c r="H29" s="111" t="str">
        <f>#REF!</f>
        <v>#REF!</v>
      </c>
      <c r="I29" s="111">
        <v>0.0</v>
      </c>
      <c r="J29" s="96" t="str">
        <f t="shared" si="2"/>
        <v>#REF!</v>
      </c>
    </row>
    <row r="30">
      <c r="A30" s="2">
        <v>29.0</v>
      </c>
      <c r="B30" s="91">
        <v>45411.0</v>
      </c>
      <c r="C30" s="111">
        <f>228.46+77.37</f>
        <v>305.83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96">
        <f t="shared" si="2"/>
        <v>305.83</v>
      </c>
    </row>
    <row r="31">
      <c r="A31" s="2">
        <v>30.0</v>
      </c>
      <c r="B31" s="91">
        <v>45412.0</v>
      </c>
      <c r="C31" s="111">
        <v>0.0</v>
      </c>
      <c r="D31" s="111">
        <v>0.0</v>
      </c>
      <c r="E31" s="111">
        <f>10.99</f>
        <v>10.99</v>
      </c>
      <c r="F31" s="111">
        <v>0.0</v>
      </c>
      <c r="G31" s="111">
        <v>0.0</v>
      </c>
      <c r="H31" s="111">
        <f>725</f>
        <v>725</v>
      </c>
      <c r="I31" s="111">
        <v>0.0</v>
      </c>
      <c r="J31" s="96">
        <f t="shared" si="2"/>
        <v>735.99</v>
      </c>
    </row>
  </sheetData>
  <mergeCells count="1">
    <mergeCell ref="L11:M1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  <col customWidth="1" min="3" max="3" width="7.29"/>
    <col customWidth="1" min="4" max="4" width="6.71"/>
    <col customWidth="1" min="5" max="5" width="9.29"/>
    <col customWidth="1" min="6" max="6" width="6.86"/>
    <col customWidth="1" min="7" max="7" width="6.29"/>
    <col customWidth="1" min="8" max="8" width="8.0"/>
    <col customWidth="1" min="9" max="9" width="8.57"/>
    <col customWidth="1" min="10" max="10" width="7.0"/>
    <col customWidth="1" min="11" max="11" width="9.86"/>
    <col customWidth="1" min="12" max="12" width="14.57"/>
    <col customWidth="1" min="13" max="13" width="9.29"/>
    <col customWidth="1" min="14" max="14" width="12.14"/>
    <col customWidth="1" min="15" max="15" width="11.57"/>
    <col customWidth="1" min="16" max="16" width="11.0"/>
    <col customWidth="1" min="17" max="17" width="10.86"/>
    <col customWidth="1" min="18" max="18" width="13.0"/>
    <col customWidth="1" min="19" max="19" width="10.86"/>
    <col customWidth="1" min="20" max="20" width="9.86"/>
  </cols>
  <sheetData>
    <row r="1">
      <c r="B1" s="106" t="s">
        <v>60</v>
      </c>
      <c r="C1" s="107" t="s">
        <v>34</v>
      </c>
      <c r="D1" s="128" t="s">
        <v>82</v>
      </c>
      <c r="E1" s="108" t="s">
        <v>61</v>
      </c>
      <c r="F1" s="108" t="s">
        <v>62</v>
      </c>
      <c r="G1" s="108" t="s">
        <v>40</v>
      </c>
      <c r="H1" s="108" t="s">
        <v>36</v>
      </c>
      <c r="I1" s="108" t="s">
        <v>63</v>
      </c>
      <c r="J1" s="108" t="s">
        <v>66</v>
      </c>
      <c r="K1" s="109" t="s">
        <v>67</v>
      </c>
      <c r="L1" s="48" t="s">
        <v>68</v>
      </c>
      <c r="M1" s="50" t="s">
        <v>69</v>
      </c>
      <c r="N1" s="48" t="s">
        <v>70</v>
      </c>
      <c r="O1" s="53" t="s">
        <v>83</v>
      </c>
      <c r="P1" s="57" t="s">
        <v>74</v>
      </c>
      <c r="Q1" s="59" t="s">
        <v>75</v>
      </c>
      <c r="R1" s="59" t="s">
        <v>76</v>
      </c>
      <c r="S1" s="59" t="s">
        <v>77</v>
      </c>
      <c r="T1" s="50" t="s">
        <v>45</v>
      </c>
    </row>
    <row r="2">
      <c r="A2" s="2">
        <v>1.0</v>
      </c>
      <c r="B2" s="91">
        <v>45413.0</v>
      </c>
      <c r="C2" s="111">
        <v>0.0</v>
      </c>
      <c r="D2" s="111">
        <v>0.0</v>
      </c>
      <c r="E2" s="111">
        <f>860</f>
        <v>860</v>
      </c>
      <c r="F2" s="111">
        <v>0.0</v>
      </c>
      <c r="G2" s="111">
        <v>0.0</v>
      </c>
      <c r="H2" s="111">
        <v>0.0</v>
      </c>
      <c r="I2" s="111">
        <v>0.0</v>
      </c>
      <c r="J2" s="111">
        <v>0.0</v>
      </c>
      <c r="K2" s="96">
        <f t="shared" ref="K2:K32" si="2">SUMIF(C2:J2,"&lt;&gt;")</f>
        <v>860</v>
      </c>
      <c r="L2" s="112">
        <f>+SUM(C2:C31,D2:D31)/ COUNTIFS(C2:C31, "&lt;&gt;", D2:D31, "&lt;&gt;")</f>
        <v>117.6546667</v>
      </c>
      <c r="M2" s="113">
        <f>+T2 / COUNTIF(C2:C31, "&lt;&gt;")</f>
        <v>621.678</v>
      </c>
      <c r="N2" s="114">
        <f t="shared" ref="N2:P2" si="1">+SUM(C2:C31)</f>
        <v>2144.14</v>
      </c>
      <c r="O2" s="114">
        <f t="shared" si="1"/>
        <v>1385.5</v>
      </c>
      <c r="P2" s="113">
        <f t="shared" si="1"/>
        <v>4141.85</v>
      </c>
      <c r="Q2" s="113">
        <f>Sum(H2:H31)</f>
        <v>9819.66</v>
      </c>
      <c r="R2" s="113">
        <f>SUM(I2:I32)</f>
        <v>157.35</v>
      </c>
      <c r="S2" s="113">
        <f>+SUM(J2:J31)</f>
        <v>759.84</v>
      </c>
      <c r="T2" s="115">
        <f>+SUM(C2:J31)</f>
        <v>18650.34</v>
      </c>
    </row>
    <row r="3">
      <c r="A3" s="2">
        <v>2.0</v>
      </c>
      <c r="B3" s="91">
        <v>45414.0</v>
      </c>
      <c r="C3" s="111">
        <f>4.78</f>
        <v>4.78</v>
      </c>
      <c r="D3" s="111">
        <v>0.0</v>
      </c>
      <c r="E3" s="111">
        <v>0.0</v>
      </c>
      <c r="F3" s="111">
        <v>0.0</v>
      </c>
      <c r="G3" s="111">
        <v>0.0</v>
      </c>
      <c r="H3" s="111">
        <v>0.0</v>
      </c>
      <c r="I3" s="111">
        <f>13.46</f>
        <v>13.46</v>
      </c>
      <c r="J3" s="111">
        <v>0.0</v>
      </c>
      <c r="K3" s="96">
        <f t="shared" si="2"/>
        <v>18.24</v>
      </c>
      <c r="T3" s="105"/>
    </row>
    <row r="4">
      <c r="A4" s="2">
        <v>3.0</v>
      </c>
      <c r="B4" s="91">
        <v>45415.0</v>
      </c>
      <c r="C4" s="111">
        <v>0.0</v>
      </c>
      <c r="D4" s="111">
        <v>0.0</v>
      </c>
      <c r="E4" s="111">
        <v>0.0</v>
      </c>
      <c r="F4" s="111">
        <v>0.0</v>
      </c>
      <c r="G4" s="111">
        <v>0.0</v>
      </c>
      <c r="H4" s="111">
        <v>0.0</v>
      </c>
      <c r="I4" s="111">
        <v>0.0</v>
      </c>
      <c r="J4" s="111">
        <v>0.0</v>
      </c>
      <c r="K4" s="96">
        <f t="shared" si="2"/>
        <v>0</v>
      </c>
    </row>
    <row r="5">
      <c r="A5" s="2">
        <v>4.0</v>
      </c>
      <c r="B5" s="91">
        <v>45416.0</v>
      </c>
      <c r="C5" s="111">
        <f>34.5</f>
        <v>34.5</v>
      </c>
      <c r="D5" s="111">
        <v>0.0</v>
      </c>
      <c r="E5" s="111">
        <v>0.0</v>
      </c>
      <c r="F5" s="111">
        <v>0.0</v>
      </c>
      <c r="G5" s="111">
        <v>0.0</v>
      </c>
      <c r="H5" s="111">
        <f>77.49+216.81+2137.5</f>
        <v>2431.8</v>
      </c>
      <c r="I5" s="111">
        <v>0.0</v>
      </c>
      <c r="J5" s="111">
        <f>144.05</f>
        <v>144.05</v>
      </c>
      <c r="K5" s="96">
        <f t="shared" si="2"/>
        <v>2610.35</v>
      </c>
    </row>
    <row r="6">
      <c r="A6" s="2">
        <v>5.0</v>
      </c>
      <c r="B6" s="91">
        <v>45417.0</v>
      </c>
      <c r="C6" s="111">
        <f>53+100.98</f>
        <v>153.98</v>
      </c>
      <c r="D6" s="111">
        <v>0.0</v>
      </c>
      <c r="E6" s="111">
        <v>0.0</v>
      </c>
      <c r="F6" s="111">
        <v>0.0</v>
      </c>
      <c r="G6" s="111">
        <v>0.0</v>
      </c>
      <c r="H6" s="111">
        <v>0.0</v>
      </c>
      <c r="I6" s="111">
        <f>39</f>
        <v>39</v>
      </c>
      <c r="J6" s="111">
        <v>0.0</v>
      </c>
      <c r="K6" s="96">
        <f t="shared" si="2"/>
        <v>192.98</v>
      </c>
    </row>
    <row r="7">
      <c r="A7" s="2">
        <v>6.0</v>
      </c>
      <c r="B7" s="91">
        <v>45418.0</v>
      </c>
      <c r="C7" s="111">
        <f>112</f>
        <v>112</v>
      </c>
      <c r="D7" s="111">
        <v>0.0</v>
      </c>
      <c r="E7" s="111">
        <v>0.0</v>
      </c>
      <c r="F7" s="111">
        <v>0.0</v>
      </c>
      <c r="G7" s="111">
        <f>242</f>
        <v>242</v>
      </c>
      <c r="H7" s="111">
        <v>0.0</v>
      </c>
      <c r="I7" s="111">
        <v>0.0</v>
      </c>
      <c r="J7" s="111">
        <f>279.8</f>
        <v>279.8</v>
      </c>
      <c r="K7" s="96">
        <f t="shared" si="2"/>
        <v>633.8</v>
      </c>
    </row>
    <row r="8">
      <c r="A8" s="2">
        <v>7.0</v>
      </c>
      <c r="B8" s="91">
        <v>45419.0</v>
      </c>
      <c r="C8" s="111">
        <f>117.4+57.69</f>
        <v>175.09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96">
        <f t="shared" si="2"/>
        <v>175.09</v>
      </c>
    </row>
    <row r="9">
      <c r="A9" s="2">
        <v>8.0</v>
      </c>
      <c r="B9" s="91">
        <v>45420.0</v>
      </c>
      <c r="C9" s="111">
        <f>33</f>
        <v>33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f>74.99</f>
        <v>74.99</v>
      </c>
      <c r="J9" s="111">
        <v>0.0</v>
      </c>
      <c r="K9" s="96">
        <f t="shared" si="2"/>
        <v>107.99</v>
      </c>
      <c r="M9" s="105"/>
    </row>
    <row r="10">
      <c r="A10" s="2">
        <v>9.0</v>
      </c>
      <c r="B10" s="91">
        <v>45421.0</v>
      </c>
      <c r="C10" s="111">
        <f>46.96+113.67</f>
        <v>160.63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96">
        <f t="shared" si="2"/>
        <v>160.63</v>
      </c>
    </row>
    <row r="11">
      <c r="A11" s="2">
        <v>10.0</v>
      </c>
      <c r="B11" s="91">
        <v>45422.0</v>
      </c>
      <c r="C11" s="111">
        <f>20+25</f>
        <v>45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I11" s="111">
        <v>0.0</v>
      </c>
      <c r="J11" s="111">
        <f>35</f>
        <v>35</v>
      </c>
      <c r="K11" s="96">
        <f t="shared" si="2"/>
        <v>80</v>
      </c>
      <c r="M11" s="23"/>
      <c r="N11" s="23"/>
      <c r="O11" s="119"/>
    </row>
    <row r="12">
      <c r="A12" s="2">
        <v>11.0</v>
      </c>
      <c r="B12" s="91">
        <v>45423.0</v>
      </c>
      <c r="C12" s="111">
        <f>57.55+104.8</f>
        <v>162.35</v>
      </c>
      <c r="D12" s="111">
        <v>0.0</v>
      </c>
      <c r="E12" s="111">
        <v>0.0</v>
      </c>
      <c r="F12" s="111">
        <v>0.0</v>
      </c>
      <c r="G12" s="111">
        <v>0.0</v>
      </c>
      <c r="H12" s="111">
        <v>0.0</v>
      </c>
      <c r="I12" s="111">
        <v>0.0</v>
      </c>
      <c r="J12" s="111">
        <f>15</f>
        <v>15</v>
      </c>
      <c r="K12" s="96">
        <f t="shared" si="2"/>
        <v>177.35</v>
      </c>
      <c r="M12" s="9"/>
      <c r="N12" s="130"/>
      <c r="O12" s="122"/>
    </row>
    <row r="13">
      <c r="A13" s="2">
        <v>12.0</v>
      </c>
      <c r="B13" s="91">
        <v>45424.0</v>
      </c>
      <c r="C13" s="111">
        <f>260.39</f>
        <v>260.39</v>
      </c>
      <c r="D13" s="111">
        <v>0.0</v>
      </c>
      <c r="E13" s="111">
        <v>0.0</v>
      </c>
      <c r="F13" s="111">
        <v>0.0</v>
      </c>
      <c r="G13" s="111">
        <v>0.0</v>
      </c>
      <c r="H13" s="111">
        <v>0.0</v>
      </c>
      <c r="I13" s="111">
        <v>0.0</v>
      </c>
      <c r="J13" s="111">
        <v>0.0</v>
      </c>
      <c r="K13" s="96">
        <f t="shared" si="2"/>
        <v>260.39</v>
      </c>
      <c r="M13" s="9"/>
      <c r="N13" s="131"/>
      <c r="O13" s="125"/>
    </row>
    <row r="14">
      <c r="A14" s="2">
        <v>13.0</v>
      </c>
      <c r="B14" s="91">
        <v>45425.0</v>
      </c>
      <c r="C14" s="111">
        <v>0.0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111">
        <f>71</f>
        <v>71</v>
      </c>
      <c r="K14" s="96">
        <f t="shared" si="2"/>
        <v>71</v>
      </c>
      <c r="M14" s="9"/>
      <c r="N14" s="23"/>
      <c r="O14" s="119"/>
    </row>
    <row r="15">
      <c r="A15" s="2">
        <v>14.0</v>
      </c>
      <c r="B15" s="91">
        <v>45426.0</v>
      </c>
      <c r="C15" s="111">
        <v>0.0</v>
      </c>
      <c r="D15" s="111">
        <f>199</f>
        <v>199</v>
      </c>
      <c r="E15" s="111">
        <v>0.0</v>
      </c>
      <c r="F15" s="111">
        <v>0.0</v>
      </c>
      <c r="G15" s="111">
        <v>0.0</v>
      </c>
      <c r="H15" s="111">
        <v>0.0</v>
      </c>
      <c r="I15" s="111">
        <f>29.9</f>
        <v>29.9</v>
      </c>
      <c r="J15" s="111">
        <f>35</f>
        <v>35</v>
      </c>
      <c r="K15" s="96">
        <f t="shared" si="2"/>
        <v>263.9</v>
      </c>
    </row>
    <row r="16">
      <c r="A16" s="2">
        <v>15.0</v>
      </c>
      <c r="B16" s="91">
        <v>45427.0</v>
      </c>
      <c r="C16" s="111">
        <v>0.0</v>
      </c>
      <c r="D16" s="111">
        <v>0.0</v>
      </c>
      <c r="E16" s="111">
        <v>0.0</v>
      </c>
      <c r="F16" s="111">
        <v>0.0</v>
      </c>
      <c r="G16" s="111">
        <v>0.0</v>
      </c>
      <c r="H16" s="111">
        <f>4958.34+882.22+122.5</f>
        <v>5963.06</v>
      </c>
      <c r="I16" s="111">
        <v>0.0</v>
      </c>
      <c r="J16" s="111">
        <v>0.0</v>
      </c>
      <c r="K16" s="96">
        <f t="shared" si="2"/>
        <v>5963.06</v>
      </c>
    </row>
    <row r="17">
      <c r="A17" s="2">
        <v>16.0</v>
      </c>
      <c r="B17" s="91">
        <v>45428.0</v>
      </c>
      <c r="C17" s="111">
        <v>0.0</v>
      </c>
      <c r="D17" s="111">
        <v>0.0</v>
      </c>
      <c r="E17" s="111">
        <v>0.0</v>
      </c>
      <c r="F17" s="111">
        <v>0.0</v>
      </c>
      <c r="G17" s="111">
        <v>0.0</v>
      </c>
      <c r="H17" s="111">
        <v>0.0</v>
      </c>
      <c r="I17" s="111">
        <v>0.0</v>
      </c>
      <c r="J17" s="111">
        <v>0.0</v>
      </c>
      <c r="K17" s="96">
        <f t="shared" si="2"/>
        <v>0</v>
      </c>
    </row>
    <row r="18">
      <c r="A18" s="2">
        <v>17.0</v>
      </c>
      <c r="B18" s="91">
        <v>45429.0</v>
      </c>
      <c r="C18" s="111">
        <v>0.0</v>
      </c>
      <c r="D18" s="111">
        <v>0.0</v>
      </c>
      <c r="E18" s="111">
        <f>430+860</f>
        <v>1290</v>
      </c>
      <c r="F18" s="111">
        <v>0.0</v>
      </c>
      <c r="G18" s="111">
        <v>0.0</v>
      </c>
      <c r="H18" s="111">
        <v>0.0</v>
      </c>
      <c r="I18" s="111">
        <v>0.0</v>
      </c>
      <c r="J18" s="111">
        <v>0.0</v>
      </c>
      <c r="K18" s="96">
        <f t="shared" si="2"/>
        <v>1290</v>
      </c>
    </row>
    <row r="19">
      <c r="A19" s="2">
        <v>18.0</v>
      </c>
      <c r="B19" s="91">
        <v>45430.0</v>
      </c>
      <c r="C19" s="111">
        <v>0.0</v>
      </c>
      <c r="D19" s="111">
        <f>669</f>
        <v>669</v>
      </c>
      <c r="E19" s="111">
        <f>116.95</f>
        <v>116.95</v>
      </c>
      <c r="F19" s="111">
        <v>0.0</v>
      </c>
      <c r="G19" s="111">
        <v>0.0</v>
      </c>
      <c r="H19" s="111">
        <v>0.0</v>
      </c>
      <c r="I19" s="111">
        <v>0.0</v>
      </c>
      <c r="J19" s="111">
        <v>0.0</v>
      </c>
      <c r="K19" s="96">
        <f t="shared" si="2"/>
        <v>785.95</v>
      </c>
    </row>
    <row r="20">
      <c r="A20" s="2">
        <v>19.0</v>
      </c>
      <c r="B20" s="91">
        <v>45431.0</v>
      </c>
      <c r="C20" s="111">
        <f>81.15+42</f>
        <v>123.15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111">
        <f>169.99</f>
        <v>169.99</v>
      </c>
      <c r="K20" s="96">
        <f t="shared" si="2"/>
        <v>293.14</v>
      </c>
    </row>
    <row r="21">
      <c r="A21" s="2">
        <v>20.0</v>
      </c>
      <c r="B21" s="91">
        <v>45432.0</v>
      </c>
      <c r="C21" s="111">
        <f>108</f>
        <v>108</v>
      </c>
      <c r="D21" s="111">
        <f>227.5</f>
        <v>227.5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96">
        <f t="shared" si="2"/>
        <v>335.5</v>
      </c>
    </row>
    <row r="22">
      <c r="A22" s="2">
        <v>21.0</v>
      </c>
      <c r="B22" s="91">
        <v>45433.0</v>
      </c>
      <c r="C22" s="111">
        <f>37.5+17.95</f>
        <v>55.45</v>
      </c>
      <c r="D22" s="111">
        <v>0.0</v>
      </c>
      <c r="E22" s="111">
        <f>400</f>
        <v>400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  <c r="K22" s="96">
        <f t="shared" si="2"/>
        <v>455.45</v>
      </c>
    </row>
    <row r="23">
      <c r="A23" s="2">
        <v>22.0</v>
      </c>
      <c r="B23" s="91">
        <v>45434.0</v>
      </c>
      <c r="C23" s="111">
        <f>35+59.5</f>
        <v>94.5</v>
      </c>
      <c r="D23" s="111">
        <v>0.0</v>
      </c>
      <c r="E23" s="111">
        <v>0.0</v>
      </c>
      <c r="F23" s="111">
        <v>0.0</v>
      </c>
      <c r="G23" s="111">
        <v>0.0</v>
      </c>
      <c r="H23" s="111">
        <v>0.0</v>
      </c>
      <c r="I23" s="111">
        <v>0.0</v>
      </c>
      <c r="J23" s="111">
        <f>10</f>
        <v>10</v>
      </c>
      <c r="K23" s="96">
        <f t="shared" si="2"/>
        <v>104.5</v>
      </c>
    </row>
    <row r="24">
      <c r="A24" s="2">
        <v>23.0</v>
      </c>
      <c r="B24" s="91">
        <v>45435.0</v>
      </c>
      <c r="C24" s="111">
        <f>126.12+208.27</f>
        <v>334.39</v>
      </c>
      <c r="D24" s="111">
        <v>0.0</v>
      </c>
      <c r="E24" s="111">
        <v>0.0</v>
      </c>
      <c r="F24" s="111">
        <v>0.0</v>
      </c>
      <c r="G24" s="111">
        <v>0.0</v>
      </c>
      <c r="H24" s="111">
        <f>599.8</f>
        <v>599.8</v>
      </c>
      <c r="I24" s="111">
        <v>0.0</v>
      </c>
      <c r="J24" s="111">
        <v>0.0</v>
      </c>
      <c r="K24" s="96">
        <f t="shared" si="2"/>
        <v>934.19</v>
      </c>
    </row>
    <row r="25">
      <c r="A25" s="2">
        <v>24.0</v>
      </c>
      <c r="B25" s="91">
        <v>45436.0</v>
      </c>
      <c r="C25" s="111">
        <v>0.0</v>
      </c>
      <c r="D25" s="111">
        <f>40</f>
        <v>40</v>
      </c>
      <c r="E25" s="111">
        <f>860</f>
        <v>860</v>
      </c>
      <c r="F25" s="111">
        <v>0.0</v>
      </c>
      <c r="G25" s="111">
        <v>0.0</v>
      </c>
      <c r="H25" s="111">
        <v>0.0</v>
      </c>
      <c r="I25" s="111">
        <v>0.0</v>
      </c>
      <c r="J25" s="111">
        <v>0.0</v>
      </c>
      <c r="K25" s="96">
        <f t="shared" si="2"/>
        <v>900</v>
      </c>
    </row>
    <row r="26">
      <c r="A26" s="2">
        <v>25.0</v>
      </c>
      <c r="B26" s="91">
        <v>45437.0</v>
      </c>
      <c r="C26" s="111">
        <v>0.0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  <c r="K26" s="96">
        <f t="shared" si="2"/>
        <v>0</v>
      </c>
    </row>
    <row r="27">
      <c r="A27" s="2">
        <v>26.0</v>
      </c>
      <c r="B27" s="91">
        <v>45438.0</v>
      </c>
      <c r="C27" s="111">
        <f>45+24</f>
        <v>69</v>
      </c>
      <c r="D27" s="111">
        <f>250</f>
        <v>250</v>
      </c>
      <c r="E27" s="111">
        <f>184.9</f>
        <v>184.9</v>
      </c>
      <c r="F27" s="111">
        <v>0.0</v>
      </c>
      <c r="G27" s="111">
        <v>0.0</v>
      </c>
      <c r="H27" s="111">
        <v>0.0</v>
      </c>
      <c r="I27" s="111">
        <v>0.0</v>
      </c>
      <c r="J27" s="111">
        <v>0.0</v>
      </c>
      <c r="K27" s="96">
        <f t="shared" si="2"/>
        <v>503.9</v>
      </c>
    </row>
    <row r="28">
      <c r="A28" s="2">
        <v>27.0</v>
      </c>
      <c r="B28" s="91">
        <v>45439.0</v>
      </c>
      <c r="C28" s="111">
        <f>57+160.93</f>
        <v>217.93</v>
      </c>
      <c r="D28" s="111">
        <v>0.0</v>
      </c>
      <c r="E28" s="111">
        <v>0.0</v>
      </c>
      <c r="F28" s="111">
        <v>0.0</v>
      </c>
      <c r="G28" s="111">
        <v>0.0</v>
      </c>
      <c r="H28" s="111">
        <f>100</f>
        <v>100</v>
      </c>
      <c r="I28" s="111">
        <v>0.0</v>
      </c>
      <c r="J28" s="111">
        <v>0.0</v>
      </c>
      <c r="K28" s="96">
        <f t="shared" si="2"/>
        <v>317.93</v>
      </c>
    </row>
    <row r="29">
      <c r="A29" s="2">
        <v>28.0</v>
      </c>
      <c r="B29" s="91">
        <v>45440.0</v>
      </c>
      <c r="C29" s="111">
        <v>0.0</v>
      </c>
      <c r="D29" s="111">
        <v>0.0</v>
      </c>
      <c r="E29" s="111">
        <f>430</f>
        <v>430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  <c r="K29" s="96">
        <f t="shared" si="2"/>
        <v>430</v>
      </c>
    </row>
    <row r="30">
      <c r="A30" s="2">
        <v>29.0</v>
      </c>
      <c r="B30" s="91">
        <v>45441.0</v>
      </c>
      <c r="C30" s="111">
        <v>0.0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111">
        <v>0.0</v>
      </c>
      <c r="K30" s="96">
        <f t="shared" si="2"/>
        <v>0</v>
      </c>
    </row>
    <row r="31">
      <c r="A31" s="2">
        <v>30.0</v>
      </c>
      <c r="B31" s="91">
        <v>45442.0</v>
      </c>
      <c r="C31" s="111">
        <v>0.0</v>
      </c>
      <c r="D31" s="111">
        <v>0.0</v>
      </c>
      <c r="E31" s="111">
        <v>0.0</v>
      </c>
      <c r="F31" s="111">
        <v>0.0</v>
      </c>
      <c r="G31" s="111">
        <v>0.0</v>
      </c>
      <c r="H31" s="111">
        <f>725</f>
        <v>725</v>
      </c>
      <c r="I31" s="111">
        <v>0.0</v>
      </c>
      <c r="J31" s="111">
        <v>0.0</v>
      </c>
      <c r="K31" s="96">
        <f t="shared" si="2"/>
        <v>725</v>
      </c>
    </row>
    <row r="32">
      <c r="A32" s="2">
        <v>31.0</v>
      </c>
      <c r="B32" s="91">
        <v>45443.0</v>
      </c>
      <c r="C32" s="111">
        <v>0.0</v>
      </c>
      <c r="D32" s="111">
        <v>0.0</v>
      </c>
      <c r="E32" s="111">
        <v>0.0</v>
      </c>
      <c r="F32" s="111">
        <v>0.0</v>
      </c>
      <c r="G32" s="111">
        <v>0.0</v>
      </c>
      <c r="H32" s="111">
        <v>0.0</v>
      </c>
      <c r="I32" s="111">
        <v>0.0</v>
      </c>
      <c r="J32" s="111">
        <v>0.0</v>
      </c>
      <c r="K32" s="96">
        <f t="shared" si="2"/>
        <v>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  <col customWidth="1" min="3" max="3" width="7.29"/>
    <col customWidth="1" min="4" max="4" width="7.0"/>
    <col customWidth="1" min="5" max="5" width="9.29"/>
    <col customWidth="1" min="6" max="6" width="5.0"/>
    <col customWidth="1" min="7" max="7" width="7.0"/>
    <col customWidth="1" min="8" max="8" width="8.0"/>
    <col customWidth="1" min="9" max="9" width="8.57"/>
    <col customWidth="1" min="10" max="10" width="8.0"/>
    <col customWidth="1" min="11" max="11" width="9.86"/>
    <col customWidth="1" min="12" max="12" width="14.57"/>
    <col customWidth="1" min="13" max="13" width="9.14"/>
    <col customWidth="1" min="14" max="14" width="12.14"/>
    <col customWidth="1" min="15" max="15" width="11.57"/>
    <col customWidth="1" min="16" max="16" width="11.0"/>
    <col customWidth="1" min="17" max="17" width="10.86"/>
    <col customWidth="1" min="18" max="18" width="13.0"/>
    <col customWidth="1" min="19" max="19" width="10.86"/>
    <col customWidth="1" min="20" max="20" width="9.86"/>
  </cols>
  <sheetData>
    <row r="1">
      <c r="B1" s="106" t="s">
        <v>60</v>
      </c>
      <c r="C1" s="107" t="s">
        <v>34</v>
      </c>
      <c r="D1" s="128" t="s">
        <v>82</v>
      </c>
      <c r="E1" s="108" t="s">
        <v>61</v>
      </c>
      <c r="F1" s="108" t="s">
        <v>62</v>
      </c>
      <c r="G1" s="108" t="s">
        <v>40</v>
      </c>
      <c r="H1" s="108" t="s">
        <v>36</v>
      </c>
      <c r="I1" s="108" t="s">
        <v>63</v>
      </c>
      <c r="J1" s="108" t="s">
        <v>66</v>
      </c>
      <c r="K1" s="109" t="s">
        <v>67</v>
      </c>
      <c r="L1" s="48" t="s">
        <v>68</v>
      </c>
      <c r="M1" s="50" t="s">
        <v>69</v>
      </c>
      <c r="N1" s="48" t="s">
        <v>70</v>
      </c>
      <c r="O1" s="53" t="s">
        <v>83</v>
      </c>
      <c r="P1" s="57" t="s">
        <v>74</v>
      </c>
      <c r="Q1" s="59" t="s">
        <v>75</v>
      </c>
      <c r="R1" s="59" t="s">
        <v>76</v>
      </c>
      <c r="S1" s="59" t="s">
        <v>77</v>
      </c>
      <c r="T1" s="50" t="s">
        <v>45</v>
      </c>
    </row>
    <row r="2">
      <c r="A2" s="2">
        <v>1.0</v>
      </c>
      <c r="B2" s="91">
        <v>45444.0</v>
      </c>
      <c r="C2" s="111">
        <f>25+240+23.9+626</f>
        <v>914.9</v>
      </c>
      <c r="D2" s="111">
        <f>260</f>
        <v>260</v>
      </c>
      <c r="E2" s="111">
        <v>0.0</v>
      </c>
      <c r="F2" s="111">
        <v>0.0</v>
      </c>
      <c r="G2" s="111">
        <v>0.0</v>
      </c>
      <c r="H2" s="111">
        <v>0.0</v>
      </c>
      <c r="I2" s="111">
        <v>0.0</v>
      </c>
      <c r="J2" s="111">
        <v>0.0</v>
      </c>
      <c r="K2" s="96">
        <f t="shared" ref="K2:K31" si="2">SUMIF(C2:J2,"&lt;&gt;")</f>
        <v>1174.9</v>
      </c>
      <c r="L2" s="112">
        <f>+SUM(C2:C31,D2:D31)/ COUNTIFS(C2:C31, "&lt;&gt;", D2:D31, "&lt;&gt;")</f>
        <v>303.4793333</v>
      </c>
      <c r="M2" s="113">
        <f>+T2 / COUNTIF(C2:C31, "&lt;&gt;")</f>
        <v>628.731</v>
      </c>
      <c r="N2" s="114">
        <f t="shared" ref="N2:P2" si="1">+SUM(C2:C31)</f>
        <v>6628.62</v>
      </c>
      <c r="O2" s="114">
        <f t="shared" si="1"/>
        <v>2475.76</v>
      </c>
      <c r="P2" s="113">
        <f t="shared" si="1"/>
        <v>1190</v>
      </c>
      <c r="Q2" s="113">
        <f>Sum(H2:H31)</f>
        <v>4344.52</v>
      </c>
      <c r="R2" s="113">
        <f>SUM(I2:I31)</f>
        <v>186.55</v>
      </c>
      <c r="S2" s="113">
        <f>+SUM(J2:J31)</f>
        <v>3794.58</v>
      </c>
      <c r="T2" s="115">
        <f>+SUM(C2:J31)</f>
        <v>18861.93</v>
      </c>
    </row>
    <row r="3">
      <c r="A3" s="2">
        <v>2.0</v>
      </c>
      <c r="B3" s="91">
        <v>45445.0</v>
      </c>
      <c r="C3" s="111">
        <f>20</f>
        <v>20</v>
      </c>
      <c r="D3" s="111">
        <v>0.0</v>
      </c>
      <c r="E3" s="111">
        <v>0.0</v>
      </c>
      <c r="F3" s="111">
        <v>0.0</v>
      </c>
      <c r="G3" s="111">
        <v>0.0</v>
      </c>
      <c r="H3" s="111">
        <v>0.0</v>
      </c>
      <c r="I3" s="111">
        <f>13.67</f>
        <v>13.67</v>
      </c>
      <c r="J3" s="111">
        <v>0.0</v>
      </c>
      <c r="K3" s="96">
        <f t="shared" si="2"/>
        <v>33.67</v>
      </c>
      <c r="T3" s="105"/>
    </row>
    <row r="4">
      <c r="A4" s="2">
        <v>3.0</v>
      </c>
      <c r="B4" s="91">
        <v>45446.0</v>
      </c>
      <c r="C4" s="111">
        <v>0.0</v>
      </c>
      <c r="D4" s="111">
        <v>0.0</v>
      </c>
      <c r="E4" s="111">
        <v>0.0</v>
      </c>
      <c r="F4" s="111">
        <v>0.0</v>
      </c>
      <c r="G4" s="111">
        <f>241.9</f>
        <v>241.9</v>
      </c>
      <c r="H4" s="111">
        <v>0.0</v>
      </c>
      <c r="I4" s="111">
        <v>0.0</v>
      </c>
      <c r="J4" s="111">
        <v>0.0</v>
      </c>
      <c r="K4" s="96">
        <f t="shared" si="2"/>
        <v>241.9</v>
      </c>
    </row>
    <row r="5">
      <c r="A5" s="2">
        <v>4.0</v>
      </c>
      <c r="B5" s="91">
        <v>45447.0</v>
      </c>
      <c r="C5" s="111">
        <f>60</f>
        <v>60</v>
      </c>
      <c r="D5" s="111">
        <v>0.0</v>
      </c>
      <c r="E5" s="111">
        <f>430+760</f>
        <v>1190</v>
      </c>
      <c r="F5" s="111">
        <v>0.0</v>
      </c>
      <c r="G5" s="111">
        <v>0.0</v>
      </c>
      <c r="H5" s="111">
        <f>2137.5</f>
        <v>2137.5</v>
      </c>
      <c r="I5" s="111">
        <v>0.0</v>
      </c>
      <c r="J5" s="111">
        <v>0.0</v>
      </c>
      <c r="K5" s="96">
        <f t="shared" si="2"/>
        <v>3387.5</v>
      </c>
    </row>
    <row r="6">
      <c r="A6" s="2">
        <v>5.0</v>
      </c>
      <c r="B6" s="91">
        <v>45448.0</v>
      </c>
      <c r="C6" s="111">
        <v>0.0</v>
      </c>
      <c r="D6" s="111">
        <v>0.0</v>
      </c>
      <c r="E6" s="111">
        <v>0.0</v>
      </c>
      <c r="F6" s="111">
        <v>0.0</v>
      </c>
      <c r="G6" s="111">
        <v>0.0</v>
      </c>
      <c r="H6" s="111">
        <v>0.0</v>
      </c>
      <c r="I6" s="111">
        <f>39</f>
        <v>39</v>
      </c>
      <c r="J6" s="111">
        <v>0.0</v>
      </c>
      <c r="K6" s="96">
        <f t="shared" si="2"/>
        <v>39</v>
      </c>
    </row>
    <row r="7">
      <c r="A7" s="2">
        <v>6.0</v>
      </c>
      <c r="B7" s="91">
        <v>45449.0</v>
      </c>
      <c r="C7" s="111">
        <f>43.6</f>
        <v>43.6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111">
        <v>0.0</v>
      </c>
      <c r="K7" s="96">
        <f t="shared" si="2"/>
        <v>43.6</v>
      </c>
    </row>
    <row r="8">
      <c r="A8" s="2">
        <v>7.0</v>
      </c>
      <c r="B8" s="91">
        <v>45450.0</v>
      </c>
      <c r="C8" s="111">
        <f>70</f>
        <v>70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96">
        <f t="shared" si="2"/>
        <v>70</v>
      </c>
    </row>
    <row r="9">
      <c r="A9" s="2">
        <v>8.0</v>
      </c>
      <c r="B9" s="91">
        <v>45451.0</v>
      </c>
      <c r="C9" s="111">
        <f>205+270</f>
        <v>475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96">
        <f t="shared" si="2"/>
        <v>475</v>
      </c>
      <c r="M9" s="105"/>
    </row>
    <row r="10">
      <c r="A10" s="2">
        <v>9.0</v>
      </c>
      <c r="B10" s="91">
        <v>45452.0</v>
      </c>
      <c r="C10" s="111">
        <f>51+195.25</f>
        <v>246.25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96">
        <f t="shared" si="2"/>
        <v>246.25</v>
      </c>
    </row>
    <row r="11">
      <c r="A11" s="2">
        <v>10.0</v>
      </c>
      <c r="B11" s="91">
        <v>45453.0</v>
      </c>
      <c r="C11" s="111">
        <f>80</f>
        <v>80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I11" s="111">
        <v>0.0</v>
      </c>
      <c r="J11" s="111">
        <v>0.0</v>
      </c>
      <c r="K11" s="96">
        <f t="shared" si="2"/>
        <v>80</v>
      </c>
      <c r="M11" s="23"/>
      <c r="N11" s="23"/>
      <c r="O11" s="119"/>
    </row>
    <row r="12">
      <c r="A12" s="2">
        <v>11.0</v>
      </c>
      <c r="B12" s="91">
        <v>45454.0</v>
      </c>
      <c r="C12" s="111">
        <v>0.0</v>
      </c>
      <c r="D12" s="111">
        <f>742+217</f>
        <v>959</v>
      </c>
      <c r="E12" s="111">
        <v>0.0</v>
      </c>
      <c r="F12" s="111">
        <v>0.0</v>
      </c>
      <c r="G12" s="111">
        <v>0.0</v>
      </c>
      <c r="H12" s="111">
        <v>0.0</v>
      </c>
      <c r="I12" s="111">
        <v>0.0</v>
      </c>
      <c r="J12" s="111">
        <v>0.0</v>
      </c>
      <c r="K12" s="96">
        <f t="shared" si="2"/>
        <v>959</v>
      </c>
      <c r="M12" s="9"/>
      <c r="N12" s="130"/>
      <c r="O12" s="122"/>
    </row>
    <row r="13">
      <c r="A13" s="2">
        <v>12.0</v>
      </c>
      <c r="B13" s="91">
        <v>45455.0</v>
      </c>
      <c r="C13" s="111">
        <v>0.0</v>
      </c>
      <c r="D13" s="111">
        <f>540.26+312.5</f>
        <v>852.76</v>
      </c>
      <c r="E13" s="111">
        <v>0.0</v>
      </c>
      <c r="F13" s="111">
        <v>0.0</v>
      </c>
      <c r="G13" s="111">
        <v>0.0</v>
      </c>
      <c r="H13" s="111">
        <v>0.0</v>
      </c>
      <c r="I13" s="111">
        <v>0.0</v>
      </c>
      <c r="J13" s="111">
        <v>0.0</v>
      </c>
      <c r="K13" s="96">
        <f t="shared" si="2"/>
        <v>852.76</v>
      </c>
      <c r="M13" s="9"/>
      <c r="N13" s="131"/>
      <c r="O13" s="125"/>
    </row>
    <row r="14">
      <c r="A14" s="2">
        <v>13.0</v>
      </c>
      <c r="B14" s="91">
        <v>45456.0</v>
      </c>
      <c r="C14" s="111">
        <v>0.0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111">
        <v>0.0</v>
      </c>
      <c r="K14" s="96">
        <f t="shared" si="2"/>
        <v>0</v>
      </c>
      <c r="M14" s="9"/>
      <c r="N14" s="23"/>
      <c r="O14" s="119"/>
    </row>
    <row r="15">
      <c r="A15" s="2">
        <v>14.0</v>
      </c>
      <c r="B15" s="91">
        <v>45457.0</v>
      </c>
      <c r="C15" s="111">
        <f>728.26</f>
        <v>728.26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  <c r="K15" s="96">
        <f t="shared" si="2"/>
        <v>728.26</v>
      </c>
    </row>
    <row r="16">
      <c r="A16" s="2">
        <v>15.0</v>
      </c>
      <c r="B16" s="91">
        <v>45458.0</v>
      </c>
      <c r="C16" s="111">
        <f>255</f>
        <v>255</v>
      </c>
      <c r="D16" s="111">
        <v>0.0</v>
      </c>
      <c r="E16" s="111">
        <v>0.0</v>
      </c>
      <c r="F16" s="111">
        <v>0.0</v>
      </c>
      <c r="G16" s="111">
        <v>0.0</v>
      </c>
      <c r="H16" s="111">
        <f>882.22</f>
        <v>882.22</v>
      </c>
      <c r="I16" s="111">
        <v>0.0</v>
      </c>
      <c r="J16" s="111">
        <v>0.0</v>
      </c>
      <c r="K16" s="96">
        <f t="shared" si="2"/>
        <v>1137.22</v>
      </c>
    </row>
    <row r="17">
      <c r="A17" s="2">
        <v>16.0</v>
      </c>
      <c r="B17" s="91">
        <v>45459.0</v>
      </c>
      <c r="C17" s="111">
        <f>33+98.5</f>
        <v>131.5</v>
      </c>
      <c r="D17" s="111">
        <f>168</f>
        <v>168</v>
      </c>
      <c r="E17" s="111">
        <v>0.0</v>
      </c>
      <c r="F17" s="111">
        <v>0.0</v>
      </c>
      <c r="G17" s="111">
        <v>0.0</v>
      </c>
      <c r="H17" s="111">
        <v>0.0</v>
      </c>
      <c r="I17" s="111">
        <v>0.0</v>
      </c>
      <c r="J17" s="111">
        <f>309.95+64.92</f>
        <v>374.87</v>
      </c>
      <c r="K17" s="96">
        <f t="shared" si="2"/>
        <v>674.37</v>
      </c>
    </row>
    <row r="18">
      <c r="A18" s="2">
        <v>17.0</v>
      </c>
      <c r="B18" s="91">
        <v>45460.0</v>
      </c>
      <c r="C18" s="111">
        <f>28.52+1609.31</f>
        <v>1637.83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f>18.99</f>
        <v>18.99</v>
      </c>
      <c r="J18" s="111">
        <v>0.0</v>
      </c>
      <c r="K18" s="96">
        <f t="shared" si="2"/>
        <v>1656.82</v>
      </c>
    </row>
    <row r="19">
      <c r="A19" s="2">
        <v>18.0</v>
      </c>
      <c r="B19" s="91">
        <v>45461.0</v>
      </c>
      <c r="C19" s="111">
        <f>93</f>
        <v>93</v>
      </c>
      <c r="D19" s="111">
        <f>236</f>
        <v>236</v>
      </c>
      <c r="E19" s="111">
        <v>0.0</v>
      </c>
      <c r="F19" s="111">
        <v>0.0</v>
      </c>
      <c r="G19" s="111">
        <v>0.0</v>
      </c>
      <c r="H19" s="111">
        <v>0.0</v>
      </c>
      <c r="I19" s="111">
        <f>74.99</f>
        <v>74.99</v>
      </c>
      <c r="J19" s="111">
        <f>19.71</f>
        <v>19.71</v>
      </c>
      <c r="K19" s="96">
        <f t="shared" si="2"/>
        <v>423.7</v>
      </c>
    </row>
    <row r="20">
      <c r="A20" s="2">
        <v>19.0</v>
      </c>
      <c r="B20" s="91">
        <v>45462.0</v>
      </c>
      <c r="C20" s="111">
        <f>131.75</f>
        <v>131.75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  <c r="I20" s="111">
        <f>39.9</f>
        <v>39.9</v>
      </c>
      <c r="J20" s="111">
        <f>3400</f>
        <v>3400</v>
      </c>
      <c r="K20" s="96">
        <f t="shared" si="2"/>
        <v>3571.65</v>
      </c>
    </row>
    <row r="21">
      <c r="A21" s="2">
        <v>20.0</v>
      </c>
      <c r="B21" s="91">
        <v>45463.0</v>
      </c>
      <c r="C21" s="111">
        <f>78.75</f>
        <v>78.75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96">
        <f t="shared" si="2"/>
        <v>78.75</v>
      </c>
    </row>
    <row r="22">
      <c r="A22" s="2">
        <v>21.0</v>
      </c>
      <c r="B22" s="91">
        <v>45464.0</v>
      </c>
      <c r="C22" s="111">
        <f>80+19</f>
        <v>99</v>
      </c>
      <c r="D22" s="111">
        <v>0.0</v>
      </c>
      <c r="E22" s="111">
        <v>0.0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  <c r="K22" s="96">
        <f t="shared" si="2"/>
        <v>99</v>
      </c>
    </row>
    <row r="23">
      <c r="A23" s="2">
        <v>22.0</v>
      </c>
      <c r="B23" s="91">
        <v>45465.0</v>
      </c>
      <c r="C23" s="111">
        <v>0.0</v>
      </c>
      <c r="D23" s="111">
        <v>0.0</v>
      </c>
      <c r="E23" s="111">
        <v>0.0</v>
      </c>
      <c r="F23" s="111">
        <v>0.0</v>
      </c>
      <c r="G23" s="111">
        <v>0.0</v>
      </c>
      <c r="H23" s="111">
        <v>0.0</v>
      </c>
      <c r="I23" s="111">
        <v>0.0</v>
      </c>
      <c r="J23" s="111">
        <v>0.0</v>
      </c>
      <c r="K23" s="96">
        <f t="shared" si="2"/>
        <v>0</v>
      </c>
    </row>
    <row r="24">
      <c r="A24" s="2">
        <v>23.0</v>
      </c>
      <c r="B24" s="91">
        <v>45466.0</v>
      </c>
      <c r="C24" s="111">
        <v>0.0</v>
      </c>
      <c r="D24" s="111">
        <v>0.0</v>
      </c>
      <c r="E24" s="111">
        <v>0.0</v>
      </c>
      <c r="F24" s="111">
        <v>0.0</v>
      </c>
      <c r="G24" s="111">
        <v>0.0</v>
      </c>
      <c r="H24" s="111">
        <f>599.8</f>
        <v>599.8</v>
      </c>
      <c r="I24" s="111">
        <v>0.0</v>
      </c>
      <c r="J24" s="111">
        <v>0.0</v>
      </c>
      <c r="K24" s="96">
        <f t="shared" si="2"/>
        <v>599.8</v>
      </c>
    </row>
    <row r="25">
      <c r="A25" s="2">
        <v>24.0</v>
      </c>
      <c r="B25" s="91">
        <v>45467.0</v>
      </c>
      <c r="C25" s="111">
        <f>29.8+270.92</f>
        <v>300.72</v>
      </c>
      <c r="D25" s="111">
        <v>0.0</v>
      </c>
      <c r="E25" s="111">
        <v>0.0</v>
      </c>
      <c r="F25" s="111">
        <v>0.0</v>
      </c>
      <c r="G25" s="111">
        <v>0.0</v>
      </c>
      <c r="H25" s="111">
        <v>0.0</v>
      </c>
      <c r="I25" s="111">
        <v>0.0</v>
      </c>
      <c r="J25" s="111">
        <v>0.0</v>
      </c>
      <c r="K25" s="96">
        <f t="shared" si="2"/>
        <v>300.72</v>
      </c>
    </row>
    <row r="26">
      <c r="A26" s="2">
        <v>25.0</v>
      </c>
      <c r="B26" s="91">
        <v>45468.0</v>
      </c>
      <c r="C26" s="111">
        <f>65.86</f>
        <v>65.86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  <c r="K26" s="96">
        <f t="shared" si="2"/>
        <v>65.86</v>
      </c>
    </row>
    <row r="27">
      <c r="A27" s="2">
        <v>26.0</v>
      </c>
      <c r="B27" s="91">
        <v>45469.0</v>
      </c>
      <c r="C27" s="111">
        <f>48.9</f>
        <v>48.9</v>
      </c>
      <c r="D27" s="111">
        <v>0.0</v>
      </c>
      <c r="E27" s="111">
        <v>0.0</v>
      </c>
      <c r="F27" s="111">
        <v>0.0</v>
      </c>
      <c r="G27" s="111">
        <v>0.0</v>
      </c>
      <c r="H27" s="111">
        <v>0.0</v>
      </c>
      <c r="I27" s="111">
        <v>0.0</v>
      </c>
      <c r="J27" s="111">
        <v>0.0</v>
      </c>
      <c r="K27" s="96">
        <f t="shared" si="2"/>
        <v>48.9</v>
      </c>
    </row>
    <row r="28">
      <c r="A28" s="2">
        <v>27.0</v>
      </c>
      <c r="B28" s="91">
        <v>45470.0</v>
      </c>
      <c r="C28" s="111">
        <f>180</f>
        <v>180</v>
      </c>
      <c r="D28" s="111">
        <v>0.0</v>
      </c>
      <c r="E28" s="111">
        <v>0.0</v>
      </c>
      <c r="F28" s="111">
        <v>0.0</v>
      </c>
      <c r="G28" s="111">
        <v>0.0</v>
      </c>
      <c r="H28" s="111">
        <v>0.0</v>
      </c>
      <c r="I28" s="111">
        <v>0.0</v>
      </c>
      <c r="J28" s="111">
        <v>0.0</v>
      </c>
      <c r="K28" s="96">
        <f t="shared" si="2"/>
        <v>180</v>
      </c>
    </row>
    <row r="29">
      <c r="A29" s="2">
        <v>28.0</v>
      </c>
      <c r="B29" s="91">
        <v>45471.0</v>
      </c>
      <c r="C29" s="111">
        <f>132.78</f>
        <v>132.78</v>
      </c>
      <c r="D29" s="111">
        <v>0.0</v>
      </c>
      <c r="E29" s="111">
        <v>0.0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  <c r="K29" s="96">
        <f t="shared" si="2"/>
        <v>132.78</v>
      </c>
    </row>
    <row r="30">
      <c r="A30" s="2">
        <v>29.0</v>
      </c>
      <c r="B30" s="91">
        <v>45472.0</v>
      </c>
      <c r="C30" s="111">
        <f>30+493.33+192.49+24.9+65+29.8</f>
        <v>835.52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111">
        <v>0.0</v>
      </c>
      <c r="K30" s="96">
        <f t="shared" si="2"/>
        <v>835.52</v>
      </c>
    </row>
    <row r="31">
      <c r="A31" s="2">
        <v>30.0</v>
      </c>
      <c r="B31" s="91">
        <v>45473.0</v>
      </c>
      <c r="C31" s="111">
        <v>0.0</v>
      </c>
      <c r="D31" s="111">
        <v>0.0</v>
      </c>
      <c r="E31" s="111">
        <v>0.0</v>
      </c>
      <c r="F31" s="111">
        <v>0.0</v>
      </c>
      <c r="G31" s="111">
        <v>0.0</v>
      </c>
      <c r="H31" s="111">
        <f>725</f>
        <v>725</v>
      </c>
      <c r="I31" s="111">
        <v>0.0</v>
      </c>
      <c r="J31" s="111">
        <v>0.0</v>
      </c>
      <c r="K31" s="96">
        <f t="shared" si="2"/>
        <v>725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  <col customWidth="1" min="3" max="3" width="8.0"/>
    <col customWidth="1" min="4" max="4" width="7.0"/>
    <col customWidth="1" min="5" max="5" width="9.29"/>
    <col customWidth="1" min="6" max="6" width="5.0"/>
    <col customWidth="1" min="7" max="7" width="7.0"/>
    <col customWidth="1" min="8" max="8" width="8.0"/>
    <col customWidth="1" min="9" max="11" width="8.57"/>
    <col customWidth="1" min="12" max="12" width="8.0"/>
    <col customWidth="1" min="13" max="13" width="9.86"/>
    <col customWidth="1" min="14" max="14" width="14.57"/>
    <col customWidth="1" min="15" max="15" width="11.71"/>
    <col customWidth="1" min="16" max="16" width="12.14"/>
    <col customWidth="1" min="17" max="19" width="11.57"/>
    <col customWidth="1" min="20" max="20" width="11.0"/>
    <col customWidth="1" min="21" max="21" width="12.29"/>
    <col customWidth="1" min="22" max="22" width="13.0"/>
    <col customWidth="1" min="23" max="23" width="10.86"/>
    <col customWidth="1" min="24" max="24" width="9.86"/>
  </cols>
  <sheetData>
    <row r="1">
      <c r="B1" s="106" t="s">
        <v>60</v>
      </c>
      <c r="C1" s="132" t="s">
        <v>34</v>
      </c>
      <c r="D1" s="133" t="s">
        <v>35</v>
      </c>
      <c r="E1" s="134" t="s">
        <v>61</v>
      </c>
      <c r="F1" s="134" t="s">
        <v>62</v>
      </c>
      <c r="G1" s="134" t="s">
        <v>40</v>
      </c>
      <c r="H1" s="134" t="s">
        <v>36</v>
      </c>
      <c r="I1" s="134" t="s">
        <v>63</v>
      </c>
      <c r="J1" s="134" t="s">
        <v>64</v>
      </c>
      <c r="K1" s="134" t="s">
        <v>65</v>
      </c>
      <c r="L1" s="134" t="s">
        <v>66</v>
      </c>
      <c r="M1" s="109" t="s">
        <v>67</v>
      </c>
    </row>
    <row r="2">
      <c r="A2" s="2">
        <v>1.0</v>
      </c>
      <c r="B2" s="91">
        <v>45474.0</v>
      </c>
      <c r="C2" s="111">
        <v>0.0</v>
      </c>
      <c r="D2" s="111">
        <v>0.0</v>
      </c>
      <c r="E2" s="111">
        <f t="shared" ref="E2:E3" si="1">430</f>
        <v>430</v>
      </c>
      <c r="F2" s="111">
        <v>0.0</v>
      </c>
      <c r="G2" s="111">
        <v>0.0</v>
      </c>
      <c r="H2" s="111">
        <v>0.0</v>
      </c>
      <c r="I2" s="111">
        <v>0.0</v>
      </c>
      <c r="J2" s="111">
        <v>0.0</v>
      </c>
      <c r="K2" s="111">
        <v>0.0</v>
      </c>
      <c r="L2" s="111">
        <v>0.0</v>
      </c>
      <c r="M2" s="96">
        <f t="shared" ref="M2:M6" si="2">SUMIF(C2:L2,"&lt;&gt;")</f>
        <v>430</v>
      </c>
      <c r="N2" s="48" t="s">
        <v>68</v>
      </c>
      <c r="O2" s="49">
        <f>+SUM(C2:C32,D2:D32)/ COUNTIFS(C2:C31, "&lt;&gt;", D2:D31, "&lt;&gt;")</f>
        <v>223.8603333</v>
      </c>
    </row>
    <row r="3">
      <c r="A3" s="2">
        <v>2.0</v>
      </c>
      <c r="B3" s="91">
        <v>45475.0</v>
      </c>
      <c r="C3" s="111">
        <v>0.0</v>
      </c>
      <c r="D3" s="111">
        <f>180</f>
        <v>180</v>
      </c>
      <c r="E3" s="111">
        <f t="shared" si="1"/>
        <v>430</v>
      </c>
      <c r="F3" s="111">
        <v>0.0</v>
      </c>
      <c r="G3" s="111">
        <v>0.0</v>
      </c>
      <c r="H3" s="111">
        <f>581.2*3</f>
        <v>1743.6</v>
      </c>
      <c r="I3" s="111">
        <v>0.0</v>
      </c>
      <c r="J3" s="111">
        <v>0.0</v>
      </c>
      <c r="K3" s="111">
        <v>0.0</v>
      </c>
      <c r="L3" s="111">
        <f>13.49</f>
        <v>13.49</v>
      </c>
      <c r="M3" s="96">
        <f t="shared" si="2"/>
        <v>2367.09</v>
      </c>
      <c r="N3" s="50" t="s">
        <v>69</v>
      </c>
      <c r="O3" s="51">
        <f>+O12 / COUNTIF(C2:C32, "&lt;&gt;")</f>
        <v>788.9277419</v>
      </c>
      <c r="X3" s="105"/>
    </row>
    <row r="4">
      <c r="A4" s="2">
        <v>3.0</v>
      </c>
      <c r="B4" s="91">
        <v>45476.0</v>
      </c>
      <c r="C4" s="111">
        <v>0.0</v>
      </c>
      <c r="D4" s="111">
        <f>95</f>
        <v>95</v>
      </c>
      <c r="E4" s="111">
        <v>0.0</v>
      </c>
      <c r="F4" s="111">
        <v>0.0</v>
      </c>
      <c r="G4" s="111">
        <v>0.0</v>
      </c>
      <c r="H4" s="111">
        <v>0.0</v>
      </c>
      <c r="I4" s="111">
        <v>0.0</v>
      </c>
      <c r="J4" s="111">
        <v>0.0</v>
      </c>
      <c r="K4" s="111">
        <v>0.0</v>
      </c>
      <c r="L4" s="111">
        <v>0.0</v>
      </c>
      <c r="M4" s="96">
        <f t="shared" si="2"/>
        <v>95</v>
      </c>
      <c r="N4" s="48" t="s">
        <v>70</v>
      </c>
      <c r="O4" s="52">
        <f>+SUM(C2:C32)</f>
        <v>3815.81</v>
      </c>
    </row>
    <row r="5">
      <c r="A5" s="2">
        <v>4.0</v>
      </c>
      <c r="B5" s="91">
        <v>45477.0</v>
      </c>
      <c r="C5" s="111">
        <v>0.0</v>
      </c>
      <c r="D5" s="111">
        <v>0.0</v>
      </c>
      <c r="E5" s="111">
        <v>0.0</v>
      </c>
      <c r="F5" s="111">
        <v>0.0</v>
      </c>
      <c r="G5" s="111">
        <v>0.0</v>
      </c>
      <c r="H5" s="111">
        <f>2137.5</f>
        <v>2137.5</v>
      </c>
      <c r="I5" s="111">
        <v>0.0</v>
      </c>
      <c r="J5" s="111">
        <v>0.0</v>
      </c>
      <c r="K5" s="111">
        <v>0.0</v>
      </c>
      <c r="L5" s="111">
        <v>0.0</v>
      </c>
      <c r="M5" s="96">
        <f t="shared" si="2"/>
        <v>2137.5</v>
      </c>
      <c r="N5" s="53" t="s">
        <v>71</v>
      </c>
      <c r="O5" s="54">
        <f>+SUM(D2:D32)</f>
        <v>2900</v>
      </c>
    </row>
    <row r="6">
      <c r="A6" s="2">
        <v>5.0</v>
      </c>
      <c r="B6" s="91">
        <v>45478.0</v>
      </c>
      <c r="C6" s="111">
        <v>0.0</v>
      </c>
      <c r="D6" s="111">
        <v>0.0</v>
      </c>
      <c r="E6" s="111">
        <v>0.0</v>
      </c>
      <c r="F6" s="111">
        <v>0.0</v>
      </c>
      <c r="G6" s="111">
        <f>242</f>
        <v>242</v>
      </c>
      <c r="H6" s="111">
        <v>0.0</v>
      </c>
      <c r="I6" s="111">
        <f>39</f>
        <v>39</v>
      </c>
      <c r="J6" s="111">
        <v>0.0</v>
      </c>
      <c r="K6" s="111">
        <v>0.0</v>
      </c>
      <c r="L6" s="111">
        <v>0.0</v>
      </c>
      <c r="M6" s="96">
        <f t="shared" si="2"/>
        <v>281</v>
      </c>
      <c r="N6" s="53" t="s">
        <v>72</v>
      </c>
      <c r="O6" s="55">
        <f>SUM(J2:J32)</f>
        <v>450</v>
      </c>
      <c r="Y6" s="135"/>
      <c r="Z6" s="136"/>
    </row>
    <row r="7">
      <c r="A7" s="2">
        <v>6.0</v>
      </c>
      <c r="B7" s="91">
        <v>45479.0</v>
      </c>
      <c r="C7" s="111">
        <f>35+40+59.6+365+130+530.7</f>
        <v>1160.3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111">
        <v>0.0</v>
      </c>
      <c r="K7" s="111">
        <f>99.9</f>
        <v>99.9</v>
      </c>
      <c r="L7" s="111">
        <v>0.0</v>
      </c>
      <c r="M7" s="96">
        <f t="shared" ref="M7:M8" si="3">SUMIF(C7:K7,"&lt;&gt;")</f>
        <v>1260.2</v>
      </c>
      <c r="N7" s="53" t="s">
        <v>73</v>
      </c>
      <c r="O7" s="56">
        <f>SUM(K2:K32)</f>
        <v>99.9</v>
      </c>
      <c r="Y7" s="135"/>
      <c r="Z7" s="136"/>
    </row>
    <row r="8">
      <c r="A8" s="2">
        <v>7.0</v>
      </c>
      <c r="B8" s="91">
        <v>45480.0</v>
      </c>
      <c r="C8" s="111">
        <f>19.95</f>
        <v>19.95</v>
      </c>
      <c r="D8" s="111">
        <f>320</f>
        <v>320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f>450</f>
        <v>450</v>
      </c>
      <c r="K8" s="111">
        <v>0.0</v>
      </c>
      <c r="L8" s="111">
        <v>0.0</v>
      </c>
      <c r="M8" s="96">
        <f t="shared" si="3"/>
        <v>789.95</v>
      </c>
      <c r="N8" s="57" t="s">
        <v>74</v>
      </c>
      <c r="O8" s="58">
        <f>+SUM(E2:E32)</f>
        <v>2144.99</v>
      </c>
      <c r="Y8" s="135"/>
      <c r="Z8" s="136"/>
    </row>
    <row r="9">
      <c r="A9" s="2">
        <v>8.0</v>
      </c>
      <c r="B9" s="91">
        <v>45481.0</v>
      </c>
      <c r="C9" s="111">
        <f>133.56</f>
        <v>133.56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111">
        <v>0.0</v>
      </c>
      <c r="L9" s="111">
        <v>0.0</v>
      </c>
      <c r="M9" s="96">
        <f t="shared" ref="M9:M32" si="4">SUMIF(C9:L9,"&lt;&gt;")</f>
        <v>133.56</v>
      </c>
      <c r="N9" s="59" t="s">
        <v>75</v>
      </c>
      <c r="O9" s="60">
        <f>Sum(H2:H32)</f>
        <v>14528.67</v>
      </c>
      <c r="Y9" s="135"/>
      <c r="Z9" s="136"/>
    </row>
    <row r="10">
      <c r="A10" s="2">
        <v>9.0</v>
      </c>
      <c r="B10" s="91">
        <v>45482.0</v>
      </c>
      <c r="C10" s="111">
        <f>55.6+178.7+70</f>
        <v>304.3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111">
        <v>0.0</v>
      </c>
      <c r="L10" s="111">
        <f>30.7</f>
        <v>30.7</v>
      </c>
      <c r="M10" s="96">
        <f t="shared" si="4"/>
        <v>335</v>
      </c>
      <c r="N10" s="59" t="s">
        <v>76</v>
      </c>
      <c r="O10" s="61">
        <f>SUM(I2:I32)</f>
        <v>98.77</v>
      </c>
      <c r="Y10" s="137"/>
      <c r="Z10" s="138"/>
    </row>
    <row r="11">
      <c r="A11" s="2">
        <v>10.0</v>
      </c>
      <c r="B11" s="91">
        <v>45483.0</v>
      </c>
      <c r="C11" s="111">
        <f>33+34.6+94+100.92</f>
        <v>262.52</v>
      </c>
      <c r="D11" s="111">
        <v>0.0</v>
      </c>
      <c r="E11" s="111">
        <v>0.0</v>
      </c>
      <c r="F11" s="111">
        <v>0.0</v>
      </c>
      <c r="G11" s="111">
        <v>0.0</v>
      </c>
      <c r="H11" s="111">
        <f>256.68+358.25</f>
        <v>614.93</v>
      </c>
      <c r="I11" s="111">
        <v>0.0</v>
      </c>
      <c r="J11" s="111">
        <v>0.0</v>
      </c>
      <c r="K11" s="111">
        <v>0.0</v>
      </c>
      <c r="L11" s="111">
        <v>0.0</v>
      </c>
      <c r="M11" s="96">
        <f t="shared" si="4"/>
        <v>877.45</v>
      </c>
      <c r="N11" s="59" t="s">
        <v>77</v>
      </c>
      <c r="O11" s="62">
        <f>+SUM(L2:L32)</f>
        <v>176.62</v>
      </c>
      <c r="P11" s="23"/>
      <c r="Q11" s="119"/>
      <c r="R11" s="119"/>
      <c r="S11" s="119"/>
      <c r="Y11" s="135"/>
      <c r="Z11" s="138"/>
    </row>
    <row r="12">
      <c r="A12" s="2">
        <v>11.0</v>
      </c>
      <c r="B12" s="91">
        <v>45484.0</v>
      </c>
      <c r="C12" s="111">
        <v>0.0</v>
      </c>
      <c r="D12" s="111">
        <v>0.0</v>
      </c>
      <c r="E12" s="111">
        <v>0.0</v>
      </c>
      <c r="F12" s="111">
        <v>0.0</v>
      </c>
      <c r="G12" s="111">
        <v>0.0</v>
      </c>
      <c r="H12" s="111">
        <f>3625.88</f>
        <v>3625.88</v>
      </c>
      <c r="I12" s="111">
        <v>0.0</v>
      </c>
      <c r="J12" s="111">
        <v>0.0</v>
      </c>
      <c r="K12" s="111">
        <v>0.0</v>
      </c>
      <c r="L12" s="111">
        <v>0.0</v>
      </c>
      <c r="M12" s="96">
        <f t="shared" si="4"/>
        <v>3625.88</v>
      </c>
      <c r="N12" s="50" t="s">
        <v>45</v>
      </c>
      <c r="O12" s="64">
        <f>+SUM(C2:L32)</f>
        <v>24456.76</v>
      </c>
      <c r="P12" s="130"/>
      <c r="Q12" s="122"/>
      <c r="R12" s="122"/>
      <c r="S12" s="122"/>
      <c r="Y12" s="135"/>
      <c r="Z12" s="138"/>
    </row>
    <row r="13">
      <c r="A13" s="2">
        <v>12.0</v>
      </c>
      <c r="B13" s="91">
        <v>45485.0</v>
      </c>
      <c r="C13" s="111">
        <v>0.0</v>
      </c>
      <c r="D13" s="111">
        <v>0.0</v>
      </c>
      <c r="E13" s="111">
        <f>204.99</f>
        <v>204.99</v>
      </c>
      <c r="F13" s="111">
        <v>0.0</v>
      </c>
      <c r="G13" s="111">
        <v>0.0</v>
      </c>
      <c r="H13" s="111">
        <v>0.0</v>
      </c>
      <c r="I13" s="111">
        <v>0.0</v>
      </c>
      <c r="J13" s="111">
        <v>0.0</v>
      </c>
      <c r="K13" s="111">
        <v>0.0</v>
      </c>
      <c r="L13" s="111">
        <v>0.0</v>
      </c>
      <c r="M13" s="96">
        <f t="shared" si="4"/>
        <v>204.99</v>
      </c>
      <c r="O13" s="9"/>
      <c r="P13" s="131"/>
      <c r="Q13" s="125"/>
      <c r="R13" s="125"/>
      <c r="S13" s="125"/>
      <c r="Y13" s="135"/>
      <c r="Z13" s="138"/>
    </row>
    <row r="14">
      <c r="A14" s="2">
        <v>13.0</v>
      </c>
      <c r="B14" s="91">
        <v>45486.0</v>
      </c>
      <c r="C14" s="111">
        <f>202.75+80.71</f>
        <v>283.46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f>39.9</f>
        <v>39.9</v>
      </c>
      <c r="J14" s="111">
        <v>0.0</v>
      </c>
      <c r="K14" s="111">
        <v>0.0</v>
      </c>
      <c r="L14" s="111">
        <v>0.0</v>
      </c>
      <c r="M14" s="96">
        <f t="shared" si="4"/>
        <v>323.36</v>
      </c>
      <c r="O14" s="9"/>
      <c r="P14" s="23"/>
      <c r="Q14" s="119"/>
      <c r="R14" s="119"/>
      <c r="S14" s="119"/>
    </row>
    <row r="15">
      <c r="A15" s="2">
        <v>14.0</v>
      </c>
      <c r="B15" s="91">
        <v>45487.0</v>
      </c>
      <c r="C15" s="111">
        <f>40.6+68</f>
        <v>108.6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  <c r="K15" s="111">
        <v>0.0</v>
      </c>
      <c r="L15" s="111">
        <v>0.0</v>
      </c>
      <c r="M15" s="96">
        <f t="shared" si="4"/>
        <v>108.6</v>
      </c>
    </row>
    <row r="16">
      <c r="A16" s="2">
        <v>15.0</v>
      </c>
      <c r="B16" s="91">
        <v>45488.0</v>
      </c>
      <c r="C16" s="111">
        <f>37.24</f>
        <v>37.24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  <c r="I16" s="111">
        <v>0.0</v>
      </c>
      <c r="J16" s="111">
        <v>0.0</v>
      </c>
      <c r="K16" s="111">
        <v>0.0</v>
      </c>
      <c r="L16" s="111">
        <v>0.0</v>
      </c>
      <c r="M16" s="96">
        <f t="shared" si="4"/>
        <v>37.24</v>
      </c>
    </row>
    <row r="17">
      <c r="A17" s="2">
        <v>16.0</v>
      </c>
      <c r="B17" s="91">
        <v>45489.0</v>
      </c>
      <c r="C17" s="111">
        <f>25</f>
        <v>25</v>
      </c>
      <c r="D17" s="111">
        <v>0.0</v>
      </c>
      <c r="E17" s="111">
        <v>0.0</v>
      </c>
      <c r="F17" s="111">
        <v>0.0</v>
      </c>
      <c r="G17" s="111">
        <v>0.0</v>
      </c>
      <c r="H17" s="111">
        <v>0.0</v>
      </c>
      <c r="I17" s="111">
        <v>0.0</v>
      </c>
      <c r="J17" s="111">
        <v>0.0</v>
      </c>
      <c r="K17" s="111">
        <v>0.0</v>
      </c>
      <c r="L17" s="111">
        <v>0.0</v>
      </c>
      <c r="M17" s="96">
        <f t="shared" si="4"/>
        <v>25</v>
      </c>
    </row>
    <row r="18">
      <c r="A18" s="2">
        <v>17.0</v>
      </c>
      <c r="B18" s="91">
        <v>45490.0</v>
      </c>
      <c r="C18" s="111">
        <v>0.0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f>19.87</f>
        <v>19.87</v>
      </c>
      <c r="J18" s="111">
        <v>0.0</v>
      </c>
      <c r="K18" s="111">
        <v>0.0</v>
      </c>
      <c r="L18" s="111">
        <v>0.0</v>
      </c>
      <c r="M18" s="96">
        <f t="shared" si="4"/>
        <v>19.87</v>
      </c>
    </row>
    <row r="19">
      <c r="A19" s="2">
        <v>18.0</v>
      </c>
      <c r="B19" s="91">
        <v>45491.0</v>
      </c>
      <c r="C19" s="111">
        <f>55+19.75</f>
        <v>74.75</v>
      </c>
      <c r="D19" s="111">
        <f>155</f>
        <v>155</v>
      </c>
      <c r="E19" s="111">
        <v>0.0</v>
      </c>
      <c r="F19" s="111">
        <v>0.0</v>
      </c>
      <c r="G19" s="111">
        <v>0.0</v>
      </c>
      <c r="H19" s="111">
        <v>0.0</v>
      </c>
      <c r="I19" s="111">
        <v>0.0</v>
      </c>
      <c r="J19" s="111">
        <v>0.0</v>
      </c>
      <c r="K19" s="111">
        <v>0.0</v>
      </c>
      <c r="L19" s="111">
        <v>0.0</v>
      </c>
      <c r="M19" s="96">
        <f t="shared" si="4"/>
        <v>229.75</v>
      </c>
    </row>
    <row r="20">
      <c r="A20" s="2">
        <v>19.0</v>
      </c>
      <c r="B20" s="91">
        <v>45492.0</v>
      </c>
      <c r="C20" s="111">
        <f>30</f>
        <v>30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111">
        <v>0.0</v>
      </c>
      <c r="K20" s="111">
        <v>0.0</v>
      </c>
      <c r="L20" s="111">
        <f>0.13</f>
        <v>0.13</v>
      </c>
      <c r="M20" s="96">
        <f t="shared" si="4"/>
        <v>30.13</v>
      </c>
    </row>
    <row r="21">
      <c r="A21" s="2">
        <v>20.0</v>
      </c>
      <c r="B21" s="91">
        <v>45493.0</v>
      </c>
      <c r="C21" s="111">
        <f>125.55+52.5</f>
        <v>178.05</v>
      </c>
      <c r="D21" s="111">
        <f>190</f>
        <v>190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111">
        <v>0.0</v>
      </c>
      <c r="L21" s="111">
        <v>0.0</v>
      </c>
      <c r="M21" s="96">
        <f t="shared" si="4"/>
        <v>368.05</v>
      </c>
    </row>
    <row r="22">
      <c r="A22" s="2">
        <v>21.0</v>
      </c>
      <c r="B22" s="91">
        <v>45494.0</v>
      </c>
      <c r="C22" s="111">
        <v>0.0</v>
      </c>
      <c r="D22" s="111">
        <f>440</f>
        <v>440</v>
      </c>
      <c r="E22" s="111">
        <v>0.0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  <c r="K22" s="111">
        <v>0.0</v>
      </c>
      <c r="L22" s="111">
        <v>0.0</v>
      </c>
      <c r="M22" s="96">
        <f t="shared" si="4"/>
        <v>440</v>
      </c>
    </row>
    <row r="23">
      <c r="A23" s="2">
        <v>22.0</v>
      </c>
      <c r="B23" s="91">
        <v>45495.0</v>
      </c>
      <c r="C23" s="111">
        <f>113.95</f>
        <v>113.95</v>
      </c>
      <c r="D23" s="111">
        <v>0.0</v>
      </c>
      <c r="E23" s="111">
        <f>1080</f>
        <v>1080</v>
      </c>
      <c r="F23" s="111">
        <v>0.0</v>
      </c>
      <c r="G23" s="111">
        <v>0.0</v>
      </c>
      <c r="H23" s="111">
        <f>576.51+587.14+597.76+572.6+1382.5</f>
        <v>3716.51</v>
      </c>
      <c r="I23" s="111">
        <v>0.0</v>
      </c>
      <c r="J23" s="111">
        <v>0.0</v>
      </c>
      <c r="K23" s="111">
        <v>0.0</v>
      </c>
      <c r="L23" s="111">
        <v>0.0</v>
      </c>
      <c r="M23" s="96">
        <f t="shared" si="4"/>
        <v>4910.46</v>
      </c>
    </row>
    <row r="24">
      <c r="A24" s="2">
        <v>23.0</v>
      </c>
      <c r="B24" s="91">
        <v>45496.0</v>
      </c>
      <c r="C24" s="111">
        <v>0.0</v>
      </c>
      <c r="D24" s="111">
        <f>410</f>
        <v>410</v>
      </c>
      <c r="E24" s="111">
        <v>0.0</v>
      </c>
      <c r="F24" s="111">
        <v>0.0</v>
      </c>
      <c r="G24" s="111">
        <v>0.0</v>
      </c>
      <c r="H24" s="111">
        <v>0.0</v>
      </c>
      <c r="I24" s="111">
        <v>0.0</v>
      </c>
      <c r="J24" s="111">
        <v>0.0</v>
      </c>
      <c r="K24" s="111">
        <v>0.0</v>
      </c>
      <c r="L24" s="111">
        <v>0.0</v>
      </c>
      <c r="M24" s="96">
        <f t="shared" si="4"/>
        <v>410</v>
      </c>
    </row>
    <row r="25">
      <c r="A25" s="2">
        <v>24.0</v>
      </c>
      <c r="B25" s="91">
        <v>45497.0</v>
      </c>
      <c r="C25" s="111">
        <f>190+137.12</f>
        <v>327.12</v>
      </c>
      <c r="D25" s="111">
        <v>0.0</v>
      </c>
      <c r="E25" s="111">
        <v>0.0</v>
      </c>
      <c r="F25" s="111">
        <v>0.0</v>
      </c>
      <c r="G25" s="111">
        <v>0.0</v>
      </c>
      <c r="H25" s="111">
        <f>508.3+538.05+567.8+552.92+523.18</f>
        <v>2690.25</v>
      </c>
      <c r="I25" s="111">
        <v>0.0</v>
      </c>
      <c r="J25" s="111">
        <v>0.0</v>
      </c>
      <c r="K25" s="111">
        <v>0.0</v>
      </c>
      <c r="L25" s="111">
        <v>0.0</v>
      </c>
      <c r="M25" s="96">
        <f t="shared" si="4"/>
        <v>3017.37</v>
      </c>
    </row>
    <row r="26">
      <c r="A26" s="2">
        <v>25.0</v>
      </c>
      <c r="B26" s="91">
        <v>45498.0</v>
      </c>
      <c r="C26" s="111">
        <v>0.0</v>
      </c>
      <c r="D26" s="111">
        <f>480</f>
        <v>480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  <c r="K26" s="111">
        <v>0.0</v>
      </c>
      <c r="L26" s="111">
        <v>0.0</v>
      </c>
      <c r="M26" s="96">
        <f t="shared" si="4"/>
        <v>480</v>
      </c>
    </row>
    <row r="27">
      <c r="A27" s="2">
        <v>26.0</v>
      </c>
      <c r="B27" s="91">
        <v>45499.0</v>
      </c>
      <c r="C27" s="111">
        <v>0.0</v>
      </c>
      <c r="D27" s="111">
        <v>0.0</v>
      </c>
      <c r="E27" s="111">
        <v>0.0</v>
      </c>
      <c r="F27" s="111">
        <v>0.0</v>
      </c>
      <c r="G27" s="111">
        <v>0.0</v>
      </c>
      <c r="H27" s="111">
        <v>0.0</v>
      </c>
      <c r="I27" s="111">
        <v>0.0</v>
      </c>
      <c r="J27" s="111">
        <v>0.0</v>
      </c>
      <c r="K27" s="111">
        <v>0.0</v>
      </c>
      <c r="L27" s="111">
        <v>0.0</v>
      </c>
      <c r="M27" s="96">
        <f t="shared" si="4"/>
        <v>0</v>
      </c>
    </row>
    <row r="28">
      <c r="A28" s="2">
        <v>27.0</v>
      </c>
      <c r="B28" s="91">
        <v>45500.0</v>
      </c>
      <c r="C28" s="111">
        <f>29+38.84+45+58.08+117.59+217</f>
        <v>505.51</v>
      </c>
      <c r="D28" s="111">
        <v>0.0</v>
      </c>
      <c r="E28" s="111">
        <v>0.0</v>
      </c>
      <c r="F28" s="111">
        <v>0.0</v>
      </c>
      <c r="G28" s="111">
        <v>0.0</v>
      </c>
      <c r="H28" s="111">
        <v>0.0</v>
      </c>
      <c r="I28" s="111">
        <v>0.0</v>
      </c>
      <c r="J28" s="111">
        <v>0.0</v>
      </c>
      <c r="K28" s="111">
        <v>0.0</v>
      </c>
      <c r="L28" s="111">
        <v>0.0</v>
      </c>
      <c r="M28" s="96">
        <f t="shared" si="4"/>
        <v>505.51</v>
      </c>
    </row>
    <row r="29">
      <c r="A29" s="2">
        <v>28.0</v>
      </c>
      <c r="B29" s="91">
        <v>45501.0</v>
      </c>
      <c r="C29" s="111">
        <v>139.5</v>
      </c>
      <c r="D29" s="111">
        <f>390</f>
        <v>390</v>
      </c>
      <c r="E29" s="111">
        <v>0.0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  <c r="K29" s="111">
        <v>0.0</v>
      </c>
      <c r="L29" s="111">
        <f>132.3</f>
        <v>132.3</v>
      </c>
      <c r="M29" s="96">
        <f t="shared" si="4"/>
        <v>661.8</v>
      </c>
    </row>
    <row r="30">
      <c r="A30" s="2">
        <v>29.0</v>
      </c>
      <c r="B30" s="91">
        <v>45502.0</v>
      </c>
      <c r="C30" s="111">
        <v>0.0</v>
      </c>
      <c r="D30" s="111">
        <f>240</f>
        <v>240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111">
        <v>0.0</v>
      </c>
      <c r="K30" s="111">
        <v>0.0</v>
      </c>
      <c r="L30" s="111">
        <v>0.0</v>
      </c>
      <c r="M30" s="96">
        <f t="shared" si="4"/>
        <v>240</v>
      </c>
    </row>
    <row r="31">
      <c r="A31" s="2">
        <v>30.0</v>
      </c>
      <c r="B31" s="91">
        <v>45503.0</v>
      </c>
      <c r="C31" s="111">
        <f>112</f>
        <v>112</v>
      </c>
      <c r="D31" s="111">
        <v>0.0</v>
      </c>
      <c r="E31" s="111">
        <v>0.0</v>
      </c>
      <c r="F31" s="111">
        <v>0.0</v>
      </c>
      <c r="G31" s="111">
        <v>0.0</v>
      </c>
      <c r="H31" s="111">
        <v>0.0</v>
      </c>
      <c r="I31" s="111">
        <v>0.0</v>
      </c>
      <c r="J31" s="111">
        <v>0.0</v>
      </c>
      <c r="K31" s="111">
        <v>0.0</v>
      </c>
      <c r="L31" s="111">
        <v>0.0</v>
      </c>
      <c r="M31" s="96">
        <f t="shared" si="4"/>
        <v>112</v>
      </c>
    </row>
    <row r="32">
      <c r="A32" s="2">
        <v>31.0</v>
      </c>
      <c r="B32" s="91">
        <v>45504.0</v>
      </c>
      <c r="C32" s="111">
        <v>0.0</v>
      </c>
      <c r="D32" s="111">
        <v>0.0</v>
      </c>
      <c r="E32" s="111">
        <v>0.0</v>
      </c>
      <c r="F32" s="111">
        <v>0.0</v>
      </c>
      <c r="G32" s="111">
        <v>0.0</v>
      </c>
      <c r="H32" s="111">
        <v>0.0</v>
      </c>
      <c r="I32" s="111">
        <v>0.0</v>
      </c>
      <c r="J32" s="111">
        <v>0.0</v>
      </c>
      <c r="K32" s="111">
        <v>0.0</v>
      </c>
      <c r="L32" s="111">
        <v>0.0</v>
      </c>
      <c r="M32" s="96">
        <f t="shared" si="4"/>
        <v>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  <col customWidth="1" min="3" max="3" width="8.0"/>
    <col customWidth="1" min="4" max="4" width="7.0"/>
    <col customWidth="1" min="5" max="5" width="9.29"/>
    <col customWidth="1" min="6" max="6" width="5.0"/>
    <col customWidth="1" min="7" max="7" width="7.0"/>
    <col customWidth="1" min="8" max="8" width="8.0"/>
    <col customWidth="1" min="9" max="9" width="8.57"/>
    <col customWidth="1" min="10" max="12" width="7.0"/>
    <col customWidth="1" min="13" max="13" width="9.86"/>
    <col customWidth="1" min="14" max="14" width="14.57"/>
    <col customWidth="1" min="15" max="15" width="11.71"/>
  </cols>
  <sheetData>
    <row r="1">
      <c r="B1" s="106" t="s">
        <v>60</v>
      </c>
      <c r="C1" s="132" t="s">
        <v>34</v>
      </c>
      <c r="D1" s="133" t="s">
        <v>35</v>
      </c>
      <c r="E1" s="134" t="s">
        <v>61</v>
      </c>
      <c r="F1" s="134" t="s">
        <v>62</v>
      </c>
      <c r="G1" s="134" t="s">
        <v>40</v>
      </c>
      <c r="H1" s="134" t="s">
        <v>36</v>
      </c>
      <c r="I1" s="134" t="s">
        <v>63</v>
      </c>
      <c r="J1" s="134" t="s">
        <v>64</v>
      </c>
      <c r="K1" s="134" t="s">
        <v>65</v>
      </c>
      <c r="L1" s="134" t="s">
        <v>66</v>
      </c>
      <c r="M1" s="109" t="s">
        <v>67</v>
      </c>
    </row>
    <row r="2">
      <c r="A2" s="2">
        <v>1.0</v>
      </c>
      <c r="B2" s="91">
        <v>45505.0</v>
      </c>
      <c r="C2" s="111">
        <f>114.95+103.94+75.7</f>
        <v>294.59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1">
        <v>0.0</v>
      </c>
      <c r="J2" s="111">
        <v>0.0</v>
      </c>
      <c r="K2" s="111">
        <v>0.0</v>
      </c>
      <c r="L2" s="111">
        <v>0.0</v>
      </c>
      <c r="M2" s="96">
        <f>SUMIF(C2:L2,"&lt;&gt;")</f>
        <v>294.59</v>
      </c>
      <c r="N2" s="48" t="s">
        <v>68</v>
      </c>
      <c r="O2" s="49">
        <f>+SUM(C2:C32,D2:D32)/ COUNTIFS(C2:C31, "&lt;&gt;", D2:D31, "&lt;&gt;")</f>
        <v>172.998</v>
      </c>
    </row>
    <row r="3">
      <c r="A3" s="2">
        <v>2.0</v>
      </c>
      <c r="B3" s="91">
        <v>45506.0</v>
      </c>
      <c r="C3" s="111">
        <v>0.0</v>
      </c>
      <c r="D3" s="111">
        <v>0.0</v>
      </c>
      <c r="E3" s="111">
        <v>0.0</v>
      </c>
      <c r="F3" s="111">
        <v>0.0</v>
      </c>
      <c r="G3" s="111">
        <v>0.0</v>
      </c>
      <c r="H3" s="111">
        <f>471.41+470+445.4+464.52+483.65+498.52</f>
        <v>2833.5</v>
      </c>
      <c r="I3" s="111">
        <f>13.43</f>
        <v>13.43</v>
      </c>
      <c r="J3" s="111">
        <v>0.0</v>
      </c>
      <c r="K3" s="111">
        <v>0.0</v>
      </c>
      <c r="L3" s="111">
        <v>0.0</v>
      </c>
      <c r="M3" s="96">
        <f>SUMIF(C3:K3,"&lt;&gt;")</f>
        <v>2846.93</v>
      </c>
      <c r="N3" s="50" t="s">
        <v>69</v>
      </c>
      <c r="O3" s="51">
        <f>+O12 / COUNTIF(C2:C32, "&lt;&gt;")</f>
        <v>656.8877419</v>
      </c>
    </row>
    <row r="4">
      <c r="A4" s="2">
        <v>3.0</v>
      </c>
      <c r="B4" s="91">
        <v>45507.0</v>
      </c>
      <c r="C4" s="111">
        <f>211.8+70</f>
        <v>281.8</v>
      </c>
      <c r="D4" s="111">
        <f>630</f>
        <v>630</v>
      </c>
      <c r="E4" s="111">
        <f>250</f>
        <v>250</v>
      </c>
      <c r="F4" s="111">
        <v>0.0</v>
      </c>
      <c r="G4" s="111">
        <v>0.0</v>
      </c>
      <c r="H4" s="111">
        <v>0.0</v>
      </c>
      <c r="I4" s="111">
        <v>0.0</v>
      </c>
      <c r="J4" s="111">
        <v>0.0</v>
      </c>
      <c r="K4" s="111">
        <v>0.0</v>
      </c>
      <c r="L4" s="111">
        <v>0.0</v>
      </c>
      <c r="M4" s="96">
        <f t="shared" ref="M4:M6" si="1">SUMIF(C4:L4,"&lt;&gt;")</f>
        <v>1161.8</v>
      </c>
      <c r="N4" s="48" t="s">
        <v>70</v>
      </c>
      <c r="O4" s="52">
        <f>+SUM(C2:C32)</f>
        <v>3638.94</v>
      </c>
    </row>
    <row r="5">
      <c r="A5" s="2">
        <v>4.0</v>
      </c>
      <c r="B5" s="91">
        <v>45508.0</v>
      </c>
      <c r="C5" s="111">
        <f>118.45+33.79</f>
        <v>152.24</v>
      </c>
      <c r="D5" s="111">
        <v>0.0</v>
      </c>
      <c r="E5" s="111">
        <v>0.0</v>
      </c>
      <c r="F5" s="111">
        <v>0.0</v>
      </c>
      <c r="G5" s="111">
        <v>0.0</v>
      </c>
      <c r="H5" s="111">
        <f>2137.5</f>
        <v>2137.5</v>
      </c>
      <c r="I5" s="111">
        <v>0.0</v>
      </c>
      <c r="J5" s="111">
        <v>0.0</v>
      </c>
      <c r="K5" s="111">
        <v>0.0</v>
      </c>
      <c r="L5" s="111">
        <v>0.0</v>
      </c>
      <c r="M5" s="96">
        <f t="shared" si="1"/>
        <v>2289.74</v>
      </c>
      <c r="N5" s="53" t="s">
        <v>71</v>
      </c>
      <c r="O5" s="54">
        <f>+SUM(D2:D32)</f>
        <v>1551</v>
      </c>
    </row>
    <row r="6">
      <c r="A6" s="2">
        <v>5.0</v>
      </c>
      <c r="B6" s="91">
        <v>45509.0</v>
      </c>
      <c r="C6" s="111">
        <v>0.0</v>
      </c>
      <c r="D6" s="111">
        <f>150</f>
        <v>150</v>
      </c>
      <c r="E6" s="111">
        <v>0.0</v>
      </c>
      <c r="F6" s="111">
        <v>0.0</v>
      </c>
      <c r="G6" s="111">
        <v>0.0</v>
      </c>
      <c r="H6" s="111">
        <v>0.0</v>
      </c>
      <c r="I6" s="111">
        <f>39</f>
        <v>39</v>
      </c>
      <c r="J6" s="111">
        <v>0.0</v>
      </c>
      <c r="K6" s="111">
        <v>0.0</v>
      </c>
      <c r="L6" s="111">
        <v>0.0</v>
      </c>
      <c r="M6" s="96">
        <f t="shared" si="1"/>
        <v>189</v>
      </c>
      <c r="N6" s="53" t="s">
        <v>72</v>
      </c>
      <c r="O6" s="55">
        <f>SUM(J2:J32)</f>
        <v>0</v>
      </c>
    </row>
    <row r="7">
      <c r="A7" s="2">
        <v>6.0</v>
      </c>
      <c r="B7" s="91">
        <v>45510.0</v>
      </c>
      <c r="C7" s="111">
        <v>0.0</v>
      </c>
      <c r="D7" s="111">
        <f>180</f>
        <v>180</v>
      </c>
      <c r="E7" s="111">
        <f>540</f>
        <v>540</v>
      </c>
      <c r="F7" s="111">
        <v>0.0</v>
      </c>
      <c r="G7" s="111">
        <f>241.9</f>
        <v>241.9</v>
      </c>
      <c r="H7" s="111">
        <v>0.0</v>
      </c>
      <c r="I7" s="111">
        <v>0.0</v>
      </c>
      <c r="J7" s="111">
        <v>0.0</v>
      </c>
      <c r="K7" s="111">
        <v>0.0</v>
      </c>
      <c r="L7" s="111">
        <v>0.0</v>
      </c>
      <c r="M7" s="96">
        <f t="shared" ref="M7:M8" si="2">SUMIF(C7:K7,"&lt;&gt;")</f>
        <v>961.9</v>
      </c>
      <c r="N7" s="53" t="s">
        <v>73</v>
      </c>
      <c r="O7" s="56">
        <f>SUM(K2:K32)</f>
        <v>449.97</v>
      </c>
    </row>
    <row r="8">
      <c r="A8" s="2">
        <v>7.0</v>
      </c>
      <c r="B8" s="91">
        <v>45511.0</v>
      </c>
      <c r="C8" s="111">
        <v>0.0</v>
      </c>
      <c r="D8" s="111">
        <f>55</f>
        <v>55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111">
        <v>0.0</v>
      </c>
      <c r="L8" s="111">
        <v>0.0</v>
      </c>
      <c r="M8" s="96">
        <f t="shared" si="2"/>
        <v>55</v>
      </c>
      <c r="N8" s="57" t="s">
        <v>74</v>
      </c>
      <c r="O8" s="58">
        <f>+SUM(E2:E32)</f>
        <v>3460</v>
      </c>
    </row>
    <row r="9">
      <c r="A9" s="2">
        <v>8.0</v>
      </c>
      <c r="B9" s="91">
        <v>45512.0</v>
      </c>
      <c r="C9" s="111">
        <v>0.0</v>
      </c>
      <c r="D9" s="111">
        <f>206</f>
        <v>206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111">
        <v>0.0</v>
      </c>
      <c r="L9" s="111">
        <v>0.0</v>
      </c>
      <c r="M9" s="96">
        <f t="shared" ref="M9:M32" si="3">SUMIF(C9:L9,"&lt;&gt;")</f>
        <v>206</v>
      </c>
      <c r="N9" s="59" t="s">
        <v>75</v>
      </c>
      <c r="O9" s="60">
        <f>Sum(H2:H32)</f>
        <v>10594.29</v>
      </c>
      <c r="U9" s="4"/>
      <c r="V9" s="4"/>
      <c r="W9" s="4"/>
    </row>
    <row r="10">
      <c r="A10" s="2">
        <v>9.0</v>
      </c>
      <c r="B10" s="91">
        <v>45513.0</v>
      </c>
      <c r="C10" s="111">
        <v>0.0</v>
      </c>
      <c r="D10" s="111">
        <f>30</f>
        <v>30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111">
        <v>0.0</v>
      </c>
      <c r="L10" s="111">
        <v>0.0</v>
      </c>
      <c r="M10" s="96">
        <f t="shared" si="3"/>
        <v>30</v>
      </c>
      <c r="N10" s="59" t="s">
        <v>76</v>
      </c>
      <c r="O10" s="61">
        <f>SUM(I2:I32)</f>
        <v>112.21</v>
      </c>
      <c r="U10" s="4"/>
      <c r="V10" s="4"/>
      <c r="W10" s="4"/>
    </row>
    <row r="11">
      <c r="A11" s="2">
        <v>10.0</v>
      </c>
      <c r="B11" s="91">
        <v>45514.0</v>
      </c>
      <c r="C11" s="111">
        <f>137+600+210</f>
        <v>947</v>
      </c>
      <c r="D11" s="111">
        <v>0.0</v>
      </c>
      <c r="E11" s="111">
        <f>540</f>
        <v>540</v>
      </c>
      <c r="F11" s="111">
        <v>0.0</v>
      </c>
      <c r="G11" s="111">
        <v>0.0</v>
      </c>
      <c r="H11" s="111">
        <f>256.66+358.25</f>
        <v>614.91</v>
      </c>
      <c r="I11" s="111">
        <v>0.0</v>
      </c>
      <c r="J11" s="111">
        <v>0.0</v>
      </c>
      <c r="K11" s="111">
        <v>0.0</v>
      </c>
      <c r="L11" s="111">
        <f>63</f>
        <v>63</v>
      </c>
      <c r="M11" s="96">
        <f t="shared" si="3"/>
        <v>2164.91</v>
      </c>
      <c r="N11" s="59" t="s">
        <v>77</v>
      </c>
      <c r="O11" s="62">
        <f>+SUM(L2:L32)</f>
        <v>315.21</v>
      </c>
      <c r="P11" s="23"/>
      <c r="Q11" s="119"/>
      <c r="U11" s="4"/>
      <c r="V11" s="4"/>
      <c r="W11" s="4"/>
    </row>
    <row r="12">
      <c r="A12" s="2">
        <v>11.0</v>
      </c>
      <c r="B12" s="91">
        <v>45515.0</v>
      </c>
      <c r="C12" s="111">
        <f>64</f>
        <v>64</v>
      </c>
      <c r="D12" s="111">
        <v>0.0</v>
      </c>
      <c r="E12" s="111">
        <f>250</f>
        <v>250</v>
      </c>
      <c r="F12" s="111">
        <v>0.0</v>
      </c>
      <c r="G12" s="111">
        <v>0.0</v>
      </c>
      <c r="H12" s="111">
        <f>3625.88</f>
        <v>3625.88</v>
      </c>
      <c r="I12" s="111">
        <v>0.0</v>
      </c>
      <c r="J12" s="111">
        <v>0.0</v>
      </c>
      <c r="K12" s="111">
        <v>0.0</v>
      </c>
      <c r="L12" s="111">
        <v>0.0</v>
      </c>
      <c r="M12" s="96">
        <f t="shared" si="3"/>
        <v>3939.88</v>
      </c>
      <c r="N12" s="50" t="s">
        <v>45</v>
      </c>
      <c r="O12" s="64">
        <f>+SUM(C2:L32)</f>
        <v>20363.52</v>
      </c>
      <c r="P12" s="130"/>
      <c r="Q12" s="122"/>
      <c r="U12" s="4"/>
      <c r="V12" s="4"/>
      <c r="W12" s="4"/>
    </row>
    <row r="13">
      <c r="A13" s="2">
        <v>12.0</v>
      </c>
      <c r="B13" s="91">
        <v>45516.0</v>
      </c>
      <c r="C13" s="111">
        <f>130+20.85</f>
        <v>150.85</v>
      </c>
      <c r="D13" s="111">
        <v>0.0</v>
      </c>
      <c r="E13" s="111">
        <v>0.0</v>
      </c>
      <c r="F13" s="111">
        <v>0.0</v>
      </c>
      <c r="G13" s="111">
        <v>0.0</v>
      </c>
      <c r="H13" s="111">
        <v>0.0</v>
      </c>
      <c r="I13" s="111">
        <f>39.9</f>
        <v>39.9</v>
      </c>
      <c r="J13" s="111">
        <v>0.0</v>
      </c>
      <c r="K13" s="111">
        <v>0.0</v>
      </c>
      <c r="L13" s="111">
        <f>107.84</f>
        <v>107.84</v>
      </c>
      <c r="M13" s="96">
        <f t="shared" si="3"/>
        <v>298.59</v>
      </c>
      <c r="O13" s="9"/>
      <c r="P13" s="131"/>
      <c r="Q13" s="125"/>
      <c r="U13" s="4"/>
      <c r="V13" s="4"/>
      <c r="W13" s="4"/>
    </row>
    <row r="14">
      <c r="A14" s="2">
        <v>13.0</v>
      </c>
      <c r="B14" s="91">
        <v>45517.0</v>
      </c>
      <c r="C14" s="111">
        <f>202.51</f>
        <v>202.51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111">
        <v>0.0</v>
      </c>
      <c r="K14" s="111">
        <v>0.0</v>
      </c>
      <c r="L14" s="111">
        <v>0.0</v>
      </c>
      <c r="M14" s="96">
        <f t="shared" si="3"/>
        <v>202.51</v>
      </c>
      <c r="O14" s="9"/>
      <c r="P14" s="23"/>
      <c r="Q14" s="119"/>
      <c r="U14" s="4"/>
      <c r="V14" s="4"/>
      <c r="W14" s="4"/>
    </row>
    <row r="15">
      <c r="A15" s="2">
        <v>14.0</v>
      </c>
      <c r="B15" s="91">
        <v>45518.0</v>
      </c>
      <c r="C15" s="111">
        <v>0.0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  <c r="K15" s="111">
        <v>0.0</v>
      </c>
      <c r="L15" s="111">
        <v>0.0</v>
      </c>
      <c r="M15" s="96">
        <f t="shared" si="3"/>
        <v>0</v>
      </c>
      <c r="U15" s="4"/>
      <c r="V15" s="4"/>
      <c r="W15" s="4"/>
    </row>
    <row r="16">
      <c r="A16" s="2">
        <v>15.0</v>
      </c>
      <c r="B16" s="91">
        <v>45519.0</v>
      </c>
      <c r="C16" s="111">
        <f>63.8</f>
        <v>63.8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  <c r="I16" s="111">
        <v>0.0</v>
      </c>
      <c r="J16" s="111">
        <v>0.0</v>
      </c>
      <c r="K16" s="111">
        <v>0.0</v>
      </c>
      <c r="L16" s="111">
        <v>0.0</v>
      </c>
      <c r="M16" s="96">
        <f t="shared" si="3"/>
        <v>63.8</v>
      </c>
      <c r="U16" s="4"/>
      <c r="V16" s="4"/>
      <c r="W16" s="4"/>
    </row>
    <row r="17">
      <c r="A17" s="2">
        <v>16.0</v>
      </c>
      <c r="B17" s="91">
        <v>45520.0</v>
      </c>
      <c r="C17" s="111">
        <f>68+98.96</f>
        <v>166.96</v>
      </c>
      <c r="D17" s="111">
        <v>0.0</v>
      </c>
      <c r="E17" s="111">
        <v>0.0</v>
      </c>
      <c r="F17" s="111">
        <v>0.0</v>
      </c>
      <c r="G17" s="111">
        <v>0.0</v>
      </c>
      <c r="H17" s="111">
        <v>0.0</v>
      </c>
      <c r="I17" s="111">
        <v>0.0</v>
      </c>
      <c r="J17" s="111">
        <v>0.0</v>
      </c>
      <c r="K17" s="111">
        <v>0.0</v>
      </c>
      <c r="L17" s="111">
        <v>0.0</v>
      </c>
      <c r="M17" s="96">
        <f t="shared" si="3"/>
        <v>166.96</v>
      </c>
      <c r="U17" s="4"/>
      <c r="V17" s="4"/>
      <c r="W17" s="4"/>
    </row>
    <row r="18">
      <c r="A18" s="2">
        <v>17.0</v>
      </c>
      <c r="B18" s="91">
        <v>45521.0</v>
      </c>
      <c r="C18" s="111">
        <v>0.0</v>
      </c>
      <c r="D18" s="111">
        <v>0.0</v>
      </c>
      <c r="E18" s="111">
        <f>150</f>
        <v>150</v>
      </c>
      <c r="F18" s="111">
        <v>0.0</v>
      </c>
      <c r="G18" s="111">
        <v>0.0</v>
      </c>
      <c r="H18" s="111">
        <v>0.0</v>
      </c>
      <c r="I18" s="111">
        <f>19.88</f>
        <v>19.88</v>
      </c>
      <c r="J18" s="111">
        <v>0.0</v>
      </c>
      <c r="K18" s="111">
        <v>0.0</v>
      </c>
      <c r="L18" s="111">
        <v>0.0</v>
      </c>
      <c r="M18" s="96">
        <f t="shared" si="3"/>
        <v>169.88</v>
      </c>
      <c r="U18" s="4"/>
      <c r="V18" s="4"/>
      <c r="W18" s="4"/>
    </row>
    <row r="19">
      <c r="A19" s="2">
        <v>18.0</v>
      </c>
      <c r="B19" s="91">
        <v>45522.0</v>
      </c>
      <c r="C19" s="111">
        <f>61.82</f>
        <v>61.82</v>
      </c>
      <c r="D19" s="111">
        <v>0.0</v>
      </c>
      <c r="E19" s="111">
        <v>0.0</v>
      </c>
      <c r="F19" s="111">
        <v>0.0</v>
      </c>
      <c r="G19" s="111">
        <v>0.0</v>
      </c>
      <c r="H19" s="111">
        <v>0.0</v>
      </c>
      <c r="I19" s="111">
        <v>0.0</v>
      </c>
      <c r="J19" s="111">
        <v>0.0</v>
      </c>
      <c r="K19" s="111">
        <v>0.0</v>
      </c>
      <c r="L19" s="111">
        <v>0.0</v>
      </c>
      <c r="M19" s="96">
        <f t="shared" si="3"/>
        <v>61.82</v>
      </c>
      <c r="U19" s="4"/>
      <c r="V19" s="4"/>
      <c r="W19" s="4"/>
    </row>
    <row r="20">
      <c r="A20" s="2">
        <v>19.0</v>
      </c>
      <c r="B20" s="91">
        <v>45523.0</v>
      </c>
      <c r="C20" s="111">
        <v>0.0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111">
        <v>0.0</v>
      </c>
      <c r="K20" s="111">
        <v>0.0</v>
      </c>
      <c r="L20" s="111">
        <v>0.0</v>
      </c>
      <c r="M20" s="96">
        <f t="shared" si="3"/>
        <v>0</v>
      </c>
      <c r="U20" s="4"/>
      <c r="V20" s="4"/>
      <c r="W20" s="4"/>
    </row>
    <row r="21">
      <c r="A21" s="2">
        <v>20.0</v>
      </c>
      <c r="B21" s="91">
        <v>45524.0</v>
      </c>
      <c r="C21" s="111">
        <v>0.0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111">
        <v>0.0</v>
      </c>
      <c r="L21" s="111">
        <f>49.47+8.9</f>
        <v>58.37</v>
      </c>
      <c r="M21" s="96">
        <f t="shared" si="3"/>
        <v>58.37</v>
      </c>
      <c r="U21" s="4"/>
      <c r="V21" s="4"/>
      <c r="W21" s="4"/>
    </row>
    <row r="22">
      <c r="A22" s="2">
        <v>21.0</v>
      </c>
      <c r="B22" s="91">
        <v>45525.0</v>
      </c>
      <c r="C22" s="111">
        <v>0.0</v>
      </c>
      <c r="D22" s="111">
        <v>0.0</v>
      </c>
      <c r="E22" s="111">
        <v>0.0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  <c r="K22" s="111">
        <v>0.0</v>
      </c>
      <c r="L22" s="111">
        <v>0.0</v>
      </c>
      <c r="M22" s="96">
        <f t="shared" si="3"/>
        <v>0</v>
      </c>
      <c r="U22" s="4"/>
      <c r="V22" s="4"/>
      <c r="W22" s="4"/>
    </row>
    <row r="23">
      <c r="A23" s="2">
        <v>22.0</v>
      </c>
      <c r="B23" s="91">
        <v>45526.0</v>
      </c>
      <c r="C23" s="111">
        <v>0.0</v>
      </c>
      <c r="D23" s="111">
        <v>0.0</v>
      </c>
      <c r="E23" s="111">
        <v>0.0</v>
      </c>
      <c r="F23" s="111">
        <v>0.0</v>
      </c>
      <c r="G23" s="111">
        <v>0.0</v>
      </c>
      <c r="H23" s="111">
        <f>1382.5</f>
        <v>1382.5</v>
      </c>
      <c r="I23" s="111">
        <v>0.0</v>
      </c>
      <c r="J23" s="111">
        <v>0.0</v>
      </c>
      <c r="K23" s="111">
        <v>0.0</v>
      </c>
      <c r="L23" s="111">
        <v>0.0</v>
      </c>
      <c r="M23" s="96">
        <f t="shared" si="3"/>
        <v>1382.5</v>
      </c>
      <c r="U23" s="4"/>
      <c r="V23" s="4"/>
      <c r="W23" s="4"/>
    </row>
    <row r="24">
      <c r="A24" s="2">
        <v>23.0</v>
      </c>
      <c r="B24" s="91">
        <v>45527.0</v>
      </c>
      <c r="C24" s="111">
        <v>0.0</v>
      </c>
      <c r="D24" s="111">
        <v>0.0</v>
      </c>
      <c r="E24" s="111">
        <v>0.0</v>
      </c>
      <c r="F24" s="111">
        <v>0.0</v>
      </c>
      <c r="G24" s="111">
        <v>0.0</v>
      </c>
      <c r="H24" s="111">
        <v>0.0</v>
      </c>
      <c r="I24" s="111">
        <v>0.0</v>
      </c>
      <c r="J24" s="111">
        <v>0.0</v>
      </c>
      <c r="K24" s="111">
        <v>0.0</v>
      </c>
      <c r="L24" s="111">
        <v>0.0</v>
      </c>
      <c r="M24" s="96">
        <f t="shared" si="3"/>
        <v>0</v>
      </c>
      <c r="U24" s="4"/>
      <c r="V24" s="4"/>
      <c r="W24" s="4"/>
    </row>
    <row r="25">
      <c r="A25" s="2">
        <v>24.0</v>
      </c>
      <c r="B25" s="91">
        <v>45528.0</v>
      </c>
      <c r="C25" s="111">
        <f>400+127.43</f>
        <v>527.43</v>
      </c>
      <c r="D25" s="111">
        <v>0.0</v>
      </c>
      <c r="E25" s="111">
        <f>1080</f>
        <v>1080</v>
      </c>
      <c r="F25" s="111">
        <v>0.0</v>
      </c>
      <c r="G25" s="111">
        <v>0.0</v>
      </c>
      <c r="H25" s="111">
        <v>0.0</v>
      </c>
      <c r="I25" s="111">
        <v>0.0</v>
      </c>
      <c r="J25" s="111">
        <v>0.0</v>
      </c>
      <c r="K25" s="111">
        <f>449.97</f>
        <v>449.97</v>
      </c>
      <c r="L25" s="111">
        <f>36.5</f>
        <v>36.5</v>
      </c>
      <c r="M25" s="96">
        <f t="shared" si="3"/>
        <v>2093.9</v>
      </c>
      <c r="U25" s="4"/>
      <c r="V25" s="4"/>
      <c r="W25" s="4"/>
    </row>
    <row r="26">
      <c r="A26" s="2">
        <v>25.0</v>
      </c>
      <c r="B26" s="91">
        <v>45529.0</v>
      </c>
      <c r="C26" s="111">
        <f>350</f>
        <v>350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  <c r="K26" s="111">
        <v>0.0</v>
      </c>
      <c r="L26" s="111">
        <v>0.0</v>
      </c>
      <c r="M26" s="96">
        <f t="shared" si="3"/>
        <v>350</v>
      </c>
      <c r="U26" s="4"/>
      <c r="V26" s="4"/>
      <c r="W26" s="4"/>
    </row>
    <row r="27">
      <c r="A27" s="2">
        <v>26.0</v>
      </c>
      <c r="B27" s="91">
        <v>45530.0</v>
      </c>
      <c r="C27" s="111">
        <v>0.0</v>
      </c>
      <c r="D27" s="111">
        <v>0.0</v>
      </c>
      <c r="E27" s="111">
        <v>0.0</v>
      </c>
      <c r="F27" s="111">
        <v>0.0</v>
      </c>
      <c r="G27" s="111">
        <v>0.0</v>
      </c>
      <c r="H27" s="111">
        <v>0.0</v>
      </c>
      <c r="I27" s="111">
        <v>0.0</v>
      </c>
      <c r="J27" s="111">
        <v>0.0</v>
      </c>
      <c r="K27" s="111">
        <v>0.0</v>
      </c>
      <c r="L27" s="111">
        <f>49.5</f>
        <v>49.5</v>
      </c>
      <c r="M27" s="96">
        <f t="shared" si="3"/>
        <v>49.5</v>
      </c>
      <c r="U27" s="4"/>
      <c r="V27" s="4"/>
      <c r="W27" s="4"/>
    </row>
    <row r="28">
      <c r="A28" s="2">
        <v>27.0</v>
      </c>
      <c r="B28" s="91">
        <v>45531.0</v>
      </c>
      <c r="C28" s="111">
        <f>84.5+10.5</f>
        <v>95</v>
      </c>
      <c r="D28" s="111">
        <v>0.0</v>
      </c>
      <c r="E28" s="111">
        <v>0.0</v>
      </c>
      <c r="F28" s="111">
        <v>0.0</v>
      </c>
      <c r="G28" s="111">
        <v>0.0</v>
      </c>
      <c r="H28" s="111">
        <v>0.0</v>
      </c>
      <c r="I28" s="111">
        <v>0.0</v>
      </c>
      <c r="J28" s="111">
        <v>0.0</v>
      </c>
      <c r="K28" s="111">
        <v>0.0</v>
      </c>
      <c r="L28" s="111">
        <v>0.0</v>
      </c>
      <c r="M28" s="96">
        <f t="shared" si="3"/>
        <v>95</v>
      </c>
    </row>
    <row r="29">
      <c r="A29" s="2">
        <v>28.0</v>
      </c>
      <c r="B29" s="91">
        <v>45532.0</v>
      </c>
      <c r="C29" s="111">
        <f>62.19</f>
        <v>62.19</v>
      </c>
      <c r="D29" s="111">
        <v>0.0</v>
      </c>
      <c r="E29" s="111">
        <f>300</f>
        <v>300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  <c r="K29" s="111">
        <v>0.0</v>
      </c>
      <c r="L29" s="111">
        <v>0.0</v>
      </c>
      <c r="M29" s="96">
        <f t="shared" si="3"/>
        <v>362.19</v>
      </c>
    </row>
    <row r="30">
      <c r="A30" s="2">
        <v>29.0</v>
      </c>
      <c r="B30" s="91">
        <v>45533.0</v>
      </c>
      <c r="C30" s="111">
        <f>172.79+11.46</f>
        <v>184.25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111">
        <v>0.0</v>
      </c>
      <c r="K30" s="111">
        <v>0.0</v>
      </c>
      <c r="L30" s="111">
        <v>0.0</v>
      </c>
      <c r="M30" s="96">
        <f t="shared" si="3"/>
        <v>184.25</v>
      </c>
    </row>
    <row r="31">
      <c r="A31" s="2">
        <v>30.0</v>
      </c>
      <c r="B31" s="91">
        <v>45534.0</v>
      </c>
      <c r="C31" s="111">
        <f>19.5</f>
        <v>19.5</v>
      </c>
      <c r="D31" s="111">
        <v>0.0</v>
      </c>
      <c r="E31" s="111">
        <v>0.0</v>
      </c>
      <c r="F31" s="111">
        <v>0.0</v>
      </c>
      <c r="G31" s="111">
        <v>0.0</v>
      </c>
      <c r="H31" s="111">
        <v>0.0</v>
      </c>
      <c r="I31" s="111">
        <v>0.0</v>
      </c>
      <c r="J31" s="111">
        <v>0.0</v>
      </c>
      <c r="K31" s="111">
        <v>0.0</v>
      </c>
      <c r="L31" s="111">
        <v>0.0</v>
      </c>
      <c r="M31" s="96">
        <f t="shared" si="3"/>
        <v>19.5</v>
      </c>
    </row>
    <row r="32">
      <c r="A32" s="2">
        <v>31.0</v>
      </c>
      <c r="B32" s="91">
        <v>45535.0</v>
      </c>
      <c r="C32" s="111">
        <f>15</f>
        <v>15</v>
      </c>
      <c r="D32" s="111">
        <f>300</f>
        <v>300</v>
      </c>
      <c r="E32" s="111">
        <f>350</f>
        <v>350</v>
      </c>
      <c r="F32" s="111">
        <v>0.0</v>
      </c>
      <c r="G32" s="111">
        <v>0.0</v>
      </c>
      <c r="H32" s="111">
        <v>0.0</v>
      </c>
      <c r="I32" s="111">
        <v>0.0</v>
      </c>
      <c r="J32" s="111">
        <v>0.0</v>
      </c>
      <c r="K32" s="111">
        <v>0.0</v>
      </c>
      <c r="L32" s="111">
        <v>0.0</v>
      </c>
      <c r="M32" s="96">
        <f t="shared" si="3"/>
        <v>665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3" max="3" width="8.0"/>
    <col customWidth="1" min="4" max="4" width="7.0"/>
    <col customWidth="1" min="5" max="5" width="9.29"/>
    <col customWidth="1" min="6" max="6" width="8.0"/>
    <col customWidth="1" min="7" max="7" width="7.0"/>
    <col customWidth="1" min="8" max="8" width="8.0"/>
    <col customWidth="1" min="9" max="9" width="8.57"/>
    <col customWidth="1" min="10" max="10" width="4.86"/>
    <col customWidth="1" min="11" max="11" width="7.0"/>
    <col customWidth="1" min="12" max="12" width="8.0"/>
  </cols>
  <sheetData>
    <row r="1">
      <c r="B1" s="106" t="s">
        <v>60</v>
      </c>
      <c r="C1" s="132" t="s">
        <v>34</v>
      </c>
      <c r="D1" s="133" t="s">
        <v>35</v>
      </c>
      <c r="E1" s="134" t="s">
        <v>61</v>
      </c>
      <c r="F1" s="134" t="s">
        <v>62</v>
      </c>
      <c r="G1" s="134" t="s">
        <v>40</v>
      </c>
      <c r="H1" s="134" t="s">
        <v>36</v>
      </c>
      <c r="I1" s="134" t="s">
        <v>63</v>
      </c>
      <c r="J1" s="134" t="s">
        <v>64</v>
      </c>
      <c r="K1" s="134" t="s">
        <v>65</v>
      </c>
      <c r="L1" s="134" t="s">
        <v>66</v>
      </c>
      <c r="M1" s="109" t="s">
        <v>67</v>
      </c>
    </row>
    <row r="2">
      <c r="A2" s="2">
        <v>1.0</v>
      </c>
      <c r="B2" s="91">
        <v>45536.0</v>
      </c>
      <c r="C2" s="111">
        <v>0.0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1">
        <v>0.0</v>
      </c>
      <c r="J2" s="111">
        <v>0.0</v>
      </c>
      <c r="K2" s="111">
        <v>0.0</v>
      </c>
      <c r="L2" s="111">
        <v>0.0</v>
      </c>
      <c r="M2" s="96">
        <f>SUMIF(C2:L2,"&lt;&gt;")</f>
        <v>0</v>
      </c>
      <c r="N2" s="48" t="s">
        <v>68</v>
      </c>
      <c r="O2" s="49">
        <f>+SUM(C2:C31,D2:D31)/ COUNTIFS(C2:C31, "&lt;&gt;", D2:D31, "&lt;&gt;")</f>
        <v>204.603</v>
      </c>
    </row>
    <row r="3">
      <c r="A3" s="2">
        <v>2.0</v>
      </c>
      <c r="B3" s="91">
        <v>45537.0</v>
      </c>
      <c r="C3" s="111">
        <f>39+232.54+160</f>
        <v>431.54</v>
      </c>
      <c r="D3" s="111">
        <v>0.0</v>
      </c>
      <c r="E3" s="111">
        <v>0.0</v>
      </c>
      <c r="F3" s="111">
        <v>0.0</v>
      </c>
      <c r="G3" s="111">
        <v>0.0</v>
      </c>
      <c r="H3" s="111">
        <v>0.0</v>
      </c>
      <c r="I3" s="111">
        <f>13.34</f>
        <v>13.34</v>
      </c>
      <c r="J3" s="111">
        <v>0.0</v>
      </c>
      <c r="K3" s="111">
        <v>0.0</v>
      </c>
      <c r="L3" s="111">
        <v>0.0</v>
      </c>
      <c r="M3" s="96">
        <f>SUMIF(C3:K3,"&lt;&gt;")</f>
        <v>444.88</v>
      </c>
      <c r="N3" s="50" t="s">
        <v>69</v>
      </c>
      <c r="O3" s="51">
        <f>+O13 / COUNTIF(C2:C31, "&lt;&gt;")</f>
        <v>722.7373333</v>
      </c>
    </row>
    <row r="4">
      <c r="A4" s="2">
        <v>3.0</v>
      </c>
      <c r="B4" s="91">
        <v>45538.0</v>
      </c>
      <c r="C4" s="111">
        <f>46.35+52.02</f>
        <v>98.37</v>
      </c>
      <c r="D4" s="111">
        <v>0.0</v>
      </c>
      <c r="E4" s="111">
        <v>0.0</v>
      </c>
      <c r="F4" s="111">
        <v>0.0</v>
      </c>
      <c r="G4" s="111">
        <v>0.0</v>
      </c>
      <c r="H4" s="111">
        <f>470</f>
        <v>470</v>
      </c>
      <c r="I4" s="111">
        <v>0.0</v>
      </c>
      <c r="J4" s="111">
        <v>0.0</v>
      </c>
      <c r="K4" s="111">
        <v>0.0</v>
      </c>
      <c r="L4" s="111">
        <v>0.0</v>
      </c>
      <c r="M4" s="96">
        <f t="shared" ref="M4:M6" si="1">SUMIF(C4:L4,"&lt;&gt;")</f>
        <v>568.37</v>
      </c>
      <c r="N4" s="48" t="s">
        <v>70</v>
      </c>
      <c r="O4" s="52">
        <f>+SUM(C2:C31)</f>
        <v>4325.39</v>
      </c>
    </row>
    <row r="5">
      <c r="A5" s="2">
        <v>4.0</v>
      </c>
      <c r="B5" s="91">
        <v>45539.0</v>
      </c>
      <c r="C5" s="111">
        <v>0.0</v>
      </c>
      <c r="D5" s="111">
        <v>0.0</v>
      </c>
      <c r="E5" s="111">
        <v>0.0</v>
      </c>
      <c r="F5" s="111">
        <v>0.0</v>
      </c>
      <c r="G5" s="111">
        <v>0.0</v>
      </c>
      <c r="H5" s="111">
        <f>2137.5</f>
        <v>2137.5</v>
      </c>
      <c r="I5" s="111">
        <v>0.0</v>
      </c>
      <c r="J5" s="111">
        <v>0.0</v>
      </c>
      <c r="K5" s="111">
        <v>0.0</v>
      </c>
      <c r="L5" s="111">
        <v>0.0</v>
      </c>
      <c r="M5" s="96">
        <f t="shared" si="1"/>
        <v>2137.5</v>
      </c>
      <c r="N5" s="53" t="s">
        <v>71</v>
      </c>
      <c r="O5" s="54">
        <f>+SUM(D2:D31)</f>
        <v>1812.7</v>
      </c>
    </row>
    <row r="6">
      <c r="A6" s="2">
        <v>5.0</v>
      </c>
      <c r="B6" s="91">
        <v>45540.0</v>
      </c>
      <c r="C6" s="111">
        <f>60.94</f>
        <v>60.94</v>
      </c>
      <c r="D6" s="111">
        <v>0.0</v>
      </c>
      <c r="E6" s="111">
        <v>0.0</v>
      </c>
      <c r="F6" s="111">
        <v>0.0</v>
      </c>
      <c r="G6" s="111">
        <v>0.0</v>
      </c>
      <c r="H6" s="111">
        <v>0.0</v>
      </c>
      <c r="I6" s="111">
        <f>39</f>
        <v>39</v>
      </c>
      <c r="J6" s="111">
        <v>0.0</v>
      </c>
      <c r="K6" s="111">
        <v>0.0</v>
      </c>
      <c r="L6" s="111">
        <v>0.0</v>
      </c>
      <c r="M6" s="96">
        <f t="shared" si="1"/>
        <v>99.94</v>
      </c>
      <c r="N6" s="53" t="s">
        <v>72</v>
      </c>
      <c r="O6" s="55">
        <f>SUM(J2:J31)</f>
        <v>0</v>
      </c>
    </row>
    <row r="7">
      <c r="A7" s="2">
        <v>6.0</v>
      </c>
      <c r="B7" s="91">
        <v>45541.0</v>
      </c>
      <c r="C7" s="111">
        <v>0.0</v>
      </c>
      <c r="D7" s="111">
        <v>0.0</v>
      </c>
      <c r="E7" s="111">
        <v>0.0</v>
      </c>
      <c r="F7" s="111">
        <v>0.0</v>
      </c>
      <c r="G7" s="111">
        <f>241.9</f>
        <v>241.9</v>
      </c>
      <c r="H7" s="111">
        <v>0.0</v>
      </c>
      <c r="I7" s="111">
        <v>0.0</v>
      </c>
      <c r="J7" s="111">
        <v>0.0</v>
      </c>
      <c r="K7" s="111">
        <v>0.0</v>
      </c>
      <c r="L7" s="111">
        <v>0.0</v>
      </c>
      <c r="M7" s="96">
        <f t="shared" ref="M7:M8" si="2">SUMIF(C7:K7,"&lt;&gt;")</f>
        <v>241.9</v>
      </c>
      <c r="N7" s="53" t="s">
        <v>73</v>
      </c>
      <c r="O7" s="56">
        <f>SUM(K2:K31)</f>
        <v>0</v>
      </c>
    </row>
    <row r="8">
      <c r="A8" s="2">
        <v>7.0</v>
      </c>
      <c r="B8" s="91">
        <v>45542.0</v>
      </c>
      <c r="C8" s="111">
        <v>0.0</v>
      </c>
      <c r="D8" s="111">
        <f>75</f>
        <v>75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111">
        <v>0.0</v>
      </c>
      <c r="L8" s="111">
        <v>0.0</v>
      </c>
      <c r="M8" s="96">
        <f t="shared" si="2"/>
        <v>75</v>
      </c>
      <c r="N8" s="57" t="s">
        <v>74</v>
      </c>
      <c r="O8" s="58">
        <f>+SUM(E2:E31)</f>
        <v>1433.99</v>
      </c>
    </row>
    <row r="9">
      <c r="A9" s="2">
        <v>8.0</v>
      </c>
      <c r="B9" s="91">
        <v>45543.0</v>
      </c>
      <c r="C9" s="111">
        <v>0.0</v>
      </c>
      <c r="D9" s="111">
        <f>86</f>
        <v>86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111">
        <v>0.0</v>
      </c>
      <c r="L9" s="111">
        <v>0.0</v>
      </c>
      <c r="M9" s="96">
        <f t="shared" ref="M9:M20" si="3">SUMIF(C9:L9,"&lt;&gt;")</f>
        <v>86</v>
      </c>
      <c r="N9" s="59" t="s">
        <v>75</v>
      </c>
      <c r="O9" s="60">
        <f>Sum(H2:H31)</f>
        <v>4642.92</v>
      </c>
    </row>
    <row r="10">
      <c r="A10" s="2">
        <v>9.0</v>
      </c>
      <c r="B10" s="91">
        <v>45544.0</v>
      </c>
      <c r="C10" s="111">
        <v>0.0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111">
        <v>0.0</v>
      </c>
      <c r="L10" s="111">
        <v>0.0</v>
      </c>
      <c r="M10" s="96">
        <f t="shared" si="3"/>
        <v>0</v>
      </c>
      <c r="N10" s="59" t="s">
        <v>76</v>
      </c>
      <c r="O10" s="61">
        <f>SUM(I2:I31)</f>
        <v>92.24</v>
      </c>
    </row>
    <row r="11">
      <c r="A11" s="2">
        <v>10.0</v>
      </c>
      <c r="B11" s="91">
        <v>45545.0</v>
      </c>
      <c r="C11" s="111">
        <f>30+40</f>
        <v>70</v>
      </c>
      <c r="D11" s="111">
        <v>0.0</v>
      </c>
      <c r="E11" s="111">
        <v>0.0</v>
      </c>
      <c r="F11" s="111">
        <v>0.0</v>
      </c>
      <c r="G11" s="111">
        <v>0.0</v>
      </c>
      <c r="H11" s="111">
        <f>256.66+358.25</f>
        <v>614.91</v>
      </c>
      <c r="I11" s="111">
        <v>0.0</v>
      </c>
      <c r="J11" s="111">
        <v>0.0</v>
      </c>
      <c r="K11" s="111">
        <v>0.0</v>
      </c>
      <c r="L11" s="111">
        <v>0.0</v>
      </c>
      <c r="M11" s="96">
        <f t="shared" si="3"/>
        <v>684.91</v>
      </c>
      <c r="N11" s="59" t="s">
        <v>77</v>
      </c>
      <c r="O11" s="62">
        <f>+SUM(L2:L31)</f>
        <v>1762.98</v>
      </c>
      <c r="P11" s="23"/>
    </row>
    <row r="12">
      <c r="A12" s="2">
        <v>11.0</v>
      </c>
      <c r="B12" s="91">
        <v>45546.0</v>
      </c>
      <c r="C12" s="111">
        <v>0.0</v>
      </c>
      <c r="D12" s="111">
        <v>0.0</v>
      </c>
      <c r="E12" s="111">
        <v>0.0</v>
      </c>
      <c r="F12" s="111">
        <v>0.0</v>
      </c>
      <c r="G12" s="111">
        <v>0.0</v>
      </c>
      <c r="H12" s="111">
        <v>0.0</v>
      </c>
      <c r="I12" s="111">
        <f>39.9</f>
        <v>39.9</v>
      </c>
      <c r="J12" s="111">
        <v>0.0</v>
      </c>
      <c r="K12" s="111">
        <v>0.0</v>
      </c>
      <c r="L12" s="111">
        <v>0.0</v>
      </c>
      <c r="M12" s="96">
        <f t="shared" si="3"/>
        <v>39.9</v>
      </c>
      <c r="N12" s="59" t="s">
        <v>40</v>
      </c>
      <c r="O12" s="63">
        <f>sum(G2:G31)</f>
        <v>241.9</v>
      </c>
      <c r="P12" s="130"/>
    </row>
    <row r="13">
      <c r="A13" s="2">
        <v>12.0</v>
      </c>
      <c r="B13" s="91">
        <v>45547.0</v>
      </c>
      <c r="C13" s="111">
        <v>0.0</v>
      </c>
      <c r="D13" s="111">
        <f>510</f>
        <v>510</v>
      </c>
      <c r="E13" s="111">
        <v>0.0</v>
      </c>
      <c r="F13" s="111">
        <v>0.0</v>
      </c>
      <c r="G13" s="111">
        <v>0.0</v>
      </c>
      <c r="H13" s="111">
        <v>0.0</v>
      </c>
      <c r="I13" s="111">
        <v>0.0</v>
      </c>
      <c r="J13" s="111">
        <v>0.0</v>
      </c>
      <c r="K13" s="111">
        <v>0.0</v>
      </c>
      <c r="L13" s="111">
        <v>0.0</v>
      </c>
      <c r="M13" s="96">
        <f t="shared" si="3"/>
        <v>510</v>
      </c>
      <c r="N13" s="50" t="s">
        <v>45</v>
      </c>
      <c r="O13" s="64">
        <f>+SUM(C2:L31)</f>
        <v>21682.12</v>
      </c>
      <c r="P13" s="131"/>
    </row>
    <row r="14">
      <c r="A14" s="2">
        <v>13.0</v>
      </c>
      <c r="B14" s="91">
        <v>45548.0</v>
      </c>
      <c r="C14" s="111">
        <v>0.0</v>
      </c>
      <c r="D14" s="111">
        <f>45</f>
        <v>45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111">
        <v>0.0</v>
      </c>
      <c r="K14" s="111">
        <v>0.0</v>
      </c>
      <c r="L14" s="111">
        <v>0.0</v>
      </c>
      <c r="M14" s="96">
        <f t="shared" si="3"/>
        <v>45</v>
      </c>
      <c r="O14" s="9"/>
      <c r="P14" s="23"/>
    </row>
    <row r="15">
      <c r="A15" s="2">
        <v>14.0</v>
      </c>
      <c r="B15" s="91">
        <v>45549.0</v>
      </c>
      <c r="C15" s="111">
        <f>60.15+77.16</f>
        <v>137.31</v>
      </c>
      <c r="D15" s="111">
        <f>235</f>
        <v>235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  <c r="K15" s="111">
        <v>0.0</v>
      </c>
      <c r="L15" s="111">
        <v>0.0</v>
      </c>
      <c r="M15" s="96">
        <f t="shared" si="3"/>
        <v>372.31</v>
      </c>
    </row>
    <row r="16">
      <c r="A16" s="2">
        <v>15.0</v>
      </c>
      <c r="B16" s="91">
        <v>45550.0</v>
      </c>
      <c r="C16" s="111">
        <f>417.96+34.5+70.5</f>
        <v>522.96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  <c r="I16" s="111">
        <v>0.0</v>
      </c>
      <c r="J16" s="111">
        <v>0.0</v>
      </c>
      <c r="K16" s="111">
        <v>0.0</v>
      </c>
      <c r="L16" s="111">
        <v>0.0</v>
      </c>
      <c r="M16" s="96">
        <f t="shared" si="3"/>
        <v>522.96</v>
      </c>
    </row>
    <row r="17">
      <c r="A17" s="2">
        <v>16.0</v>
      </c>
      <c r="B17" s="91">
        <v>45551.0</v>
      </c>
      <c r="C17" s="111">
        <v>0.0</v>
      </c>
      <c r="D17" s="111">
        <v>0.0</v>
      </c>
      <c r="E17" s="111">
        <v>0.0</v>
      </c>
      <c r="F17" s="111">
        <v>0.0</v>
      </c>
      <c r="G17" s="111">
        <v>0.0</v>
      </c>
      <c r="H17" s="111">
        <v>0.0</v>
      </c>
      <c r="I17" s="111">
        <v>0.0</v>
      </c>
      <c r="J17" s="111">
        <v>0.0</v>
      </c>
      <c r="K17" s="111">
        <v>0.0</v>
      </c>
      <c r="L17" s="111">
        <v>0.0</v>
      </c>
      <c r="M17" s="96">
        <f t="shared" si="3"/>
        <v>0</v>
      </c>
    </row>
    <row r="18">
      <c r="A18" s="2">
        <v>17.0</v>
      </c>
      <c r="B18" s="91">
        <v>45552.0</v>
      </c>
      <c r="C18" s="111">
        <f>112.89+19.5+204.7</f>
        <v>337.09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111">
        <v>0.0</v>
      </c>
      <c r="K18" s="111">
        <v>0.0</v>
      </c>
      <c r="L18" s="111">
        <v>0.0</v>
      </c>
      <c r="M18" s="96">
        <f t="shared" si="3"/>
        <v>337.09</v>
      </c>
    </row>
    <row r="19">
      <c r="A19" s="2">
        <v>18.0</v>
      </c>
      <c r="B19" s="91">
        <v>45553.0</v>
      </c>
      <c r="C19" s="111">
        <f>170.5</f>
        <v>170.5</v>
      </c>
      <c r="D19" s="111">
        <v>0.0</v>
      </c>
      <c r="E19" s="111">
        <v>0.0</v>
      </c>
      <c r="F19" s="111">
        <v>0.0</v>
      </c>
      <c r="G19" s="111">
        <v>0.0</v>
      </c>
      <c r="H19" s="111">
        <v>0.0</v>
      </c>
      <c r="I19" s="111">
        <v>0.0</v>
      </c>
      <c r="J19" s="111">
        <v>0.0</v>
      </c>
      <c r="K19" s="111">
        <v>0.0</v>
      </c>
      <c r="L19" s="111">
        <v>0.0</v>
      </c>
      <c r="M19" s="96">
        <f t="shared" si="3"/>
        <v>170.5</v>
      </c>
    </row>
    <row r="20">
      <c r="A20" s="2">
        <v>19.0</v>
      </c>
      <c r="B20" s="91">
        <v>45554.0</v>
      </c>
      <c r="C20" s="111">
        <f>83.88</f>
        <v>83.88</v>
      </c>
      <c r="D20" s="111">
        <v>0.0</v>
      </c>
      <c r="E20" s="111">
        <f>1080</f>
        <v>1080</v>
      </c>
      <c r="F20" s="111">
        <v>0.0</v>
      </c>
      <c r="G20" s="111">
        <v>0.0</v>
      </c>
      <c r="H20" s="111">
        <v>0.0</v>
      </c>
      <c r="I20" s="111">
        <v>0.0</v>
      </c>
      <c r="J20" s="111">
        <v>0.0</v>
      </c>
      <c r="K20" s="111">
        <v>0.0</v>
      </c>
      <c r="L20" s="111">
        <v>0.0</v>
      </c>
      <c r="M20" s="96">
        <f t="shared" si="3"/>
        <v>1163.88</v>
      </c>
    </row>
    <row r="21">
      <c r="A21" s="2">
        <v>20.0</v>
      </c>
      <c r="B21" s="91">
        <v>45555.0</v>
      </c>
      <c r="C21" s="111">
        <v>0.0</v>
      </c>
      <c r="D21" s="111">
        <f>154+452.7</f>
        <v>606.7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111">
        <v>0.0</v>
      </c>
      <c r="L21" s="111">
        <v>0.0</v>
      </c>
      <c r="M21" s="96">
        <f>SUMIF(D21:L21,"&lt;&gt;")</f>
        <v>606.7</v>
      </c>
    </row>
    <row r="22">
      <c r="A22" s="2">
        <v>21.0</v>
      </c>
      <c r="B22" s="91">
        <v>45556.0</v>
      </c>
      <c r="C22" s="111">
        <v>0.0</v>
      </c>
      <c r="D22" s="111">
        <v>0.0</v>
      </c>
      <c r="E22" s="111">
        <v>0.0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  <c r="K22" s="111">
        <v>0.0</v>
      </c>
      <c r="L22" s="111">
        <f>515.98</f>
        <v>515.98</v>
      </c>
      <c r="M22" s="96">
        <f t="shared" ref="M22:M31" si="4">SUMIF(C22:L22,"&lt;&gt;")</f>
        <v>515.98</v>
      </c>
    </row>
    <row r="23">
      <c r="A23" s="2">
        <v>22.0</v>
      </c>
      <c r="B23" s="91">
        <v>45557.0</v>
      </c>
      <c r="C23" s="111">
        <f>147.5+137.5</f>
        <v>285</v>
      </c>
      <c r="D23" s="111">
        <v>0.0</v>
      </c>
      <c r="E23" s="111">
        <v>0.0</v>
      </c>
      <c r="F23" s="111">
        <v>0.0</v>
      </c>
      <c r="G23" s="111">
        <v>0.0</v>
      </c>
      <c r="H23" s="111">
        <f>1382.5</f>
        <v>1382.5</v>
      </c>
      <c r="I23" s="111">
        <v>0.0</v>
      </c>
      <c r="J23" s="111">
        <v>0.0</v>
      </c>
      <c r="K23" s="111">
        <v>0.0</v>
      </c>
      <c r="L23" s="111">
        <v>0.0</v>
      </c>
      <c r="M23" s="96">
        <f t="shared" si="4"/>
        <v>1667.5</v>
      </c>
    </row>
    <row r="24">
      <c r="A24" s="2">
        <v>23.0</v>
      </c>
      <c r="B24" s="91">
        <v>45558.0</v>
      </c>
      <c r="C24" s="111">
        <f>152.02+46.5</f>
        <v>198.52</v>
      </c>
      <c r="D24" s="111">
        <v>0.0</v>
      </c>
      <c r="E24" s="111">
        <f>153.99</f>
        <v>153.99</v>
      </c>
      <c r="F24" s="111">
        <v>0.0</v>
      </c>
      <c r="G24" s="111">
        <v>0.0</v>
      </c>
      <c r="H24" s="111">
        <f>38.01</f>
        <v>38.01</v>
      </c>
      <c r="I24" s="111">
        <v>0.0</v>
      </c>
      <c r="J24" s="111">
        <v>0.0</v>
      </c>
      <c r="K24" s="111">
        <v>0.0</v>
      </c>
      <c r="L24" s="111">
        <v>0.0</v>
      </c>
      <c r="M24" s="96">
        <f t="shared" si="4"/>
        <v>390.52</v>
      </c>
    </row>
    <row r="25">
      <c r="A25" s="2">
        <v>24.0</v>
      </c>
      <c r="B25" s="91">
        <v>45559.0</v>
      </c>
      <c r="C25" s="111">
        <f>153.5+87.25</f>
        <v>240.75</v>
      </c>
      <c r="D25" s="111">
        <v>0.0</v>
      </c>
      <c r="E25" s="111">
        <v>0.0</v>
      </c>
      <c r="F25" s="111">
        <v>0.0</v>
      </c>
      <c r="G25" s="111">
        <v>0.0</v>
      </c>
      <c r="H25" s="111">
        <v>0.0</v>
      </c>
      <c r="I25" s="111">
        <v>0.0</v>
      </c>
      <c r="J25" s="111">
        <v>0.0</v>
      </c>
      <c r="K25" s="111">
        <v>0.0</v>
      </c>
      <c r="L25" s="111">
        <f>1247</f>
        <v>1247</v>
      </c>
      <c r="M25" s="96">
        <f t="shared" si="4"/>
        <v>1487.75</v>
      </c>
    </row>
    <row r="26">
      <c r="A26" s="2">
        <v>25.0</v>
      </c>
      <c r="B26" s="91">
        <v>45560.0</v>
      </c>
      <c r="C26" s="111">
        <f>99.9+51</f>
        <v>150.9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  <c r="K26" s="111">
        <v>0.0</v>
      </c>
      <c r="L26" s="111">
        <v>0.0</v>
      </c>
      <c r="M26" s="96">
        <f t="shared" si="4"/>
        <v>150.9</v>
      </c>
    </row>
    <row r="27">
      <c r="A27" s="2">
        <v>26.0</v>
      </c>
      <c r="B27" s="91">
        <v>45561.0</v>
      </c>
      <c r="C27" s="111">
        <f>110.5</f>
        <v>110.5</v>
      </c>
      <c r="D27" s="111">
        <v>0.0</v>
      </c>
      <c r="E27" s="111">
        <f>200</f>
        <v>200</v>
      </c>
      <c r="F27" s="111">
        <v>0.0</v>
      </c>
      <c r="G27" s="111">
        <v>0.0</v>
      </c>
      <c r="H27" s="111">
        <v>0.0</v>
      </c>
      <c r="I27" s="111">
        <v>0.0</v>
      </c>
      <c r="J27" s="111">
        <v>0.0</v>
      </c>
      <c r="K27" s="111">
        <v>0.0</v>
      </c>
      <c r="L27" s="111">
        <v>0.0</v>
      </c>
      <c r="M27" s="96">
        <f t="shared" si="4"/>
        <v>310.5</v>
      </c>
    </row>
    <row r="28">
      <c r="A28" s="2">
        <v>27.0</v>
      </c>
      <c r="B28" s="91">
        <v>45562.0</v>
      </c>
      <c r="C28" s="111">
        <v>0.0</v>
      </c>
      <c r="D28" s="111">
        <f>255</f>
        <v>255</v>
      </c>
      <c r="E28" s="111">
        <v>0.0</v>
      </c>
      <c r="F28" s="111">
        <v>0.0</v>
      </c>
      <c r="G28" s="111">
        <v>0.0</v>
      </c>
      <c r="H28" s="111">
        <v>0.0</v>
      </c>
      <c r="I28" s="111">
        <v>0.0</v>
      </c>
      <c r="J28" s="111">
        <v>0.0</v>
      </c>
      <c r="K28" s="111">
        <v>0.0</v>
      </c>
      <c r="L28" s="111">
        <v>0.0</v>
      </c>
      <c r="M28" s="96">
        <f t="shared" si="4"/>
        <v>255</v>
      </c>
    </row>
    <row r="29">
      <c r="A29" s="2">
        <v>28.0</v>
      </c>
      <c r="B29" s="91">
        <v>45563.0</v>
      </c>
      <c r="C29" s="111">
        <f>79.81+59.42+43.5</f>
        <v>182.73</v>
      </c>
      <c r="D29" s="111">
        <v>0.0</v>
      </c>
      <c r="E29" s="111">
        <v>0.0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  <c r="K29" s="111">
        <v>0.0</v>
      </c>
      <c r="L29" s="111">
        <v>0.0</v>
      </c>
      <c r="M29" s="96">
        <f t="shared" si="4"/>
        <v>182.73</v>
      </c>
    </row>
    <row r="30">
      <c r="A30" s="2">
        <v>29.0</v>
      </c>
      <c r="B30" s="91">
        <v>45564.0</v>
      </c>
      <c r="C30" s="111">
        <f>844.4+331+69</f>
        <v>1244.4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111">
        <v>0.0</v>
      </c>
      <c r="K30" s="111">
        <v>0.0</v>
      </c>
      <c r="L30" s="111">
        <v>0.0</v>
      </c>
      <c r="M30" s="96">
        <f t="shared" si="4"/>
        <v>1244.4</v>
      </c>
    </row>
    <row r="31">
      <c r="A31" s="2">
        <v>30.0</v>
      </c>
      <c r="B31" s="91">
        <v>45565.0</v>
      </c>
      <c r="C31" s="111">
        <v>0.0</v>
      </c>
      <c r="D31" s="111">
        <v>0.0</v>
      </c>
      <c r="E31" s="111">
        <v>0.0</v>
      </c>
      <c r="F31" s="111">
        <f>5370+2000</f>
        <v>7370</v>
      </c>
      <c r="G31" s="111">
        <v>0.0</v>
      </c>
      <c r="H31" s="111">
        <v>0.0</v>
      </c>
      <c r="I31" s="111">
        <v>0.0</v>
      </c>
      <c r="J31" s="111">
        <v>0.0</v>
      </c>
      <c r="K31" s="111">
        <v>0.0</v>
      </c>
      <c r="L31" s="111">
        <v>0.0</v>
      </c>
      <c r="M31" s="96">
        <f t="shared" si="4"/>
        <v>7370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1.29"/>
    <col customWidth="1" min="3" max="3" width="8.0"/>
    <col customWidth="1" min="4" max="4" width="7.0"/>
    <col customWidth="1" min="5" max="5" width="9.29"/>
    <col customWidth="1" min="6" max="6" width="8.0"/>
    <col customWidth="1" min="7" max="7" width="7.0"/>
    <col customWidth="1" min="8" max="8" width="8.0"/>
    <col customWidth="1" min="9" max="9" width="8.57"/>
    <col customWidth="1" min="10" max="11" width="4.86"/>
    <col customWidth="1" min="12" max="12" width="8.0"/>
    <col customWidth="1" min="13" max="13" width="9.86"/>
  </cols>
  <sheetData>
    <row r="1">
      <c r="B1" s="106" t="s">
        <v>60</v>
      </c>
      <c r="C1" s="132" t="s">
        <v>34</v>
      </c>
      <c r="D1" s="133" t="s">
        <v>35</v>
      </c>
      <c r="E1" s="134" t="s">
        <v>61</v>
      </c>
      <c r="F1" s="134" t="s">
        <v>62</v>
      </c>
      <c r="G1" s="134" t="s">
        <v>40</v>
      </c>
      <c r="H1" s="134" t="s">
        <v>36</v>
      </c>
      <c r="I1" s="134" t="s">
        <v>63</v>
      </c>
      <c r="J1" s="134" t="s">
        <v>64</v>
      </c>
      <c r="K1" s="134" t="s">
        <v>65</v>
      </c>
      <c r="L1" s="134" t="s">
        <v>66</v>
      </c>
      <c r="M1" s="109" t="s">
        <v>67</v>
      </c>
    </row>
    <row r="2">
      <c r="A2" s="2">
        <v>1.0</v>
      </c>
      <c r="B2" s="91">
        <v>45566.0</v>
      </c>
      <c r="C2" s="111">
        <v>0.0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1">
        <v>0.0</v>
      </c>
      <c r="J2" s="111">
        <v>0.0</v>
      </c>
      <c r="K2" s="111">
        <v>0.0</v>
      </c>
      <c r="L2" s="111">
        <v>0.0</v>
      </c>
      <c r="M2" s="96">
        <f>SUMIF(C2:L2,"&lt;&gt;")</f>
        <v>0</v>
      </c>
      <c r="N2" s="48" t="s">
        <v>68</v>
      </c>
      <c r="O2" s="49">
        <f>+SUM(C2:C32,D2:D32)/ COUNTIFS(C2:C32, "&lt;&gt;", D2:D32, "&lt;&gt;")</f>
        <v>186.5483871</v>
      </c>
    </row>
    <row r="3">
      <c r="A3" s="2">
        <v>2.0</v>
      </c>
      <c r="B3" s="91">
        <v>45567.0</v>
      </c>
      <c r="C3" s="111">
        <f>222</f>
        <v>222</v>
      </c>
      <c r="D3" s="111">
        <v>0.0</v>
      </c>
      <c r="E3" s="111">
        <v>0.0</v>
      </c>
      <c r="F3" s="111">
        <v>0.0</v>
      </c>
      <c r="G3" s="111">
        <v>0.0</v>
      </c>
      <c r="H3" s="111">
        <f>470</f>
        <v>470</v>
      </c>
      <c r="I3" s="111">
        <f>26.21</f>
        <v>26.21</v>
      </c>
      <c r="J3" s="111">
        <v>0.0</v>
      </c>
      <c r="K3" s="111">
        <v>0.0</v>
      </c>
      <c r="L3" s="111">
        <v>0.0</v>
      </c>
      <c r="M3" s="96">
        <f>SUMIF(C3:K3,"&lt;&gt;")</f>
        <v>718.21</v>
      </c>
      <c r="N3" s="50" t="s">
        <v>69</v>
      </c>
      <c r="O3" s="51">
        <f>+O13 / COUNTIF(C2:C32, "&lt;&gt;")</f>
        <v>564.5522581</v>
      </c>
    </row>
    <row r="4">
      <c r="A4" s="2">
        <v>3.0</v>
      </c>
      <c r="B4" s="91">
        <v>45568.0</v>
      </c>
      <c r="C4" s="111">
        <v>0.0</v>
      </c>
      <c r="D4" s="111">
        <v>0.0</v>
      </c>
      <c r="E4" s="111">
        <v>0.0</v>
      </c>
      <c r="F4" s="111">
        <v>0.0</v>
      </c>
      <c r="G4" s="111">
        <v>0.0</v>
      </c>
      <c r="H4" s="111">
        <v>0.0</v>
      </c>
      <c r="I4" s="111">
        <v>0.0</v>
      </c>
      <c r="J4" s="111">
        <v>0.0</v>
      </c>
      <c r="K4" s="111">
        <v>0.0</v>
      </c>
      <c r="L4" s="111">
        <v>0.0</v>
      </c>
      <c r="M4" s="96">
        <f t="shared" ref="M4:M6" si="1">SUMIF(C4:L4,"&lt;&gt;")</f>
        <v>0</v>
      </c>
      <c r="N4" s="48" t="s">
        <v>70</v>
      </c>
      <c r="O4" s="52">
        <f>+SUM(C2:C32)</f>
        <v>3458</v>
      </c>
    </row>
    <row r="5">
      <c r="A5" s="2">
        <v>4.0</v>
      </c>
      <c r="B5" s="91">
        <v>45569.0</v>
      </c>
      <c r="C5" s="111">
        <v>0.0</v>
      </c>
      <c r="D5" s="111">
        <v>0.0</v>
      </c>
      <c r="E5" s="111">
        <v>0.0</v>
      </c>
      <c r="F5" s="111">
        <v>0.0</v>
      </c>
      <c r="G5" s="111">
        <v>0.0</v>
      </c>
      <c r="H5" s="111">
        <v>0.0</v>
      </c>
      <c r="I5" s="111">
        <v>0.0</v>
      </c>
      <c r="J5" s="111">
        <v>0.0</v>
      </c>
      <c r="K5" s="111">
        <v>0.0</v>
      </c>
      <c r="L5" s="111">
        <v>0.0</v>
      </c>
      <c r="M5" s="96">
        <f t="shared" si="1"/>
        <v>0</v>
      </c>
      <c r="N5" s="53" t="s">
        <v>71</v>
      </c>
      <c r="O5" s="54">
        <f>+SUM(D2:D32)</f>
        <v>2325</v>
      </c>
    </row>
    <row r="6">
      <c r="A6" s="2">
        <v>5.0</v>
      </c>
      <c r="B6" s="91">
        <v>45570.0</v>
      </c>
      <c r="C6" s="111">
        <v>0.0</v>
      </c>
      <c r="D6" s="111">
        <v>0.0</v>
      </c>
      <c r="E6" s="111">
        <v>0.0</v>
      </c>
      <c r="F6" s="111">
        <v>0.0</v>
      </c>
      <c r="G6" s="111">
        <v>0.0</v>
      </c>
      <c r="H6" s="111">
        <v>0.0</v>
      </c>
      <c r="I6" s="111">
        <f>39</f>
        <v>39</v>
      </c>
      <c r="J6" s="111">
        <v>0.0</v>
      </c>
      <c r="K6" s="111">
        <v>0.0</v>
      </c>
      <c r="L6" s="111">
        <v>0.0</v>
      </c>
      <c r="M6" s="96">
        <f t="shared" si="1"/>
        <v>39</v>
      </c>
      <c r="N6" s="53" t="s">
        <v>72</v>
      </c>
      <c r="O6" s="55">
        <f>SUM(J2:J32)</f>
        <v>0</v>
      </c>
    </row>
    <row r="7">
      <c r="A7" s="2">
        <v>6.0</v>
      </c>
      <c r="B7" s="91">
        <v>45571.0</v>
      </c>
      <c r="C7" s="111">
        <f>30+61.07</f>
        <v>91.07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111">
        <v>0.0</v>
      </c>
      <c r="K7" s="111">
        <v>0.0</v>
      </c>
      <c r="L7" s="111">
        <v>0.0</v>
      </c>
      <c r="M7" s="96">
        <f t="shared" ref="M7:M8" si="2">SUMIF(C7:K7,"&lt;&gt;")</f>
        <v>91.07</v>
      </c>
      <c r="N7" s="53" t="s">
        <v>73</v>
      </c>
      <c r="O7" s="56">
        <f>SUM(K2:K32)</f>
        <v>0</v>
      </c>
    </row>
    <row r="8">
      <c r="A8" s="2">
        <v>7.0</v>
      </c>
      <c r="B8" s="91">
        <v>45572.0</v>
      </c>
      <c r="C8" s="111">
        <v>0.0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111">
        <v>0.0</v>
      </c>
      <c r="L8" s="111">
        <v>0.0</v>
      </c>
      <c r="M8" s="96">
        <f t="shared" si="2"/>
        <v>0</v>
      </c>
      <c r="N8" s="57" t="s">
        <v>74</v>
      </c>
      <c r="O8" s="58">
        <f>+SUM(E2:E32)</f>
        <v>0</v>
      </c>
    </row>
    <row r="9">
      <c r="A9" s="2">
        <v>8.0</v>
      </c>
      <c r="B9" s="91">
        <v>45573.0</v>
      </c>
      <c r="C9" s="111">
        <v>0.0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111">
        <v>0.0</v>
      </c>
      <c r="L9" s="111">
        <v>0.0</v>
      </c>
      <c r="M9" s="96">
        <f t="shared" ref="M9:M20" si="3">SUMIF(C9:L9,"&lt;&gt;")</f>
        <v>0</v>
      </c>
      <c r="N9" s="59" t="s">
        <v>75</v>
      </c>
      <c r="O9" s="60">
        <f>Sum(H2:H32)</f>
        <v>5516.39</v>
      </c>
    </row>
    <row r="10">
      <c r="A10" s="2">
        <v>9.0</v>
      </c>
      <c r="B10" s="91">
        <v>45574.0</v>
      </c>
      <c r="C10" s="111">
        <f>30+15</f>
        <v>45</v>
      </c>
      <c r="D10" s="111">
        <f>75</f>
        <v>75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111">
        <v>0.0</v>
      </c>
      <c r="L10" s="111">
        <v>0.0</v>
      </c>
      <c r="M10" s="96">
        <f t="shared" si="3"/>
        <v>120</v>
      </c>
      <c r="N10" s="59" t="s">
        <v>76</v>
      </c>
      <c r="O10" s="61">
        <f>SUM(I2:I32)</f>
        <v>115.11</v>
      </c>
    </row>
    <row r="11">
      <c r="A11" s="2">
        <v>10.0</v>
      </c>
      <c r="B11" s="91">
        <v>45575.0</v>
      </c>
      <c r="C11" s="111">
        <v>0.0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I11" s="111">
        <v>0.0</v>
      </c>
      <c r="J11" s="111">
        <v>0.0</v>
      </c>
      <c r="K11" s="111">
        <v>0.0</v>
      </c>
      <c r="L11" s="111">
        <v>0.0</v>
      </c>
      <c r="M11" s="96">
        <f t="shared" si="3"/>
        <v>0</v>
      </c>
      <c r="N11" s="59" t="s">
        <v>77</v>
      </c>
      <c r="O11" s="62">
        <f>+SUM(L2:L32)</f>
        <v>1256.62</v>
      </c>
    </row>
    <row r="12">
      <c r="A12" s="2">
        <v>11.0</v>
      </c>
      <c r="B12" s="91">
        <v>45576.0</v>
      </c>
      <c r="C12" s="111">
        <f>30+25</f>
        <v>55</v>
      </c>
      <c r="D12" s="111">
        <v>0.0</v>
      </c>
      <c r="E12" s="111">
        <v>0.0</v>
      </c>
      <c r="F12" s="111">
        <v>0.0</v>
      </c>
      <c r="G12" s="111">
        <v>0.0</v>
      </c>
      <c r="H12" s="111">
        <f>3625.88</f>
        <v>3625.88</v>
      </c>
      <c r="I12" s="111">
        <f>49.9</f>
        <v>49.9</v>
      </c>
      <c r="J12" s="111">
        <v>0.0</v>
      </c>
      <c r="K12" s="111">
        <v>0.0</v>
      </c>
      <c r="L12" s="111">
        <v>0.0</v>
      </c>
      <c r="M12" s="96">
        <f t="shared" si="3"/>
        <v>3730.78</v>
      </c>
      <c r="N12" s="59" t="s">
        <v>40</v>
      </c>
      <c r="O12" s="63">
        <f>sum(G2:G32)</f>
        <v>330</v>
      </c>
    </row>
    <row r="13">
      <c r="A13" s="2">
        <v>12.0</v>
      </c>
      <c r="B13" s="91">
        <v>45577.0</v>
      </c>
      <c r="C13" s="111">
        <f>120.84</f>
        <v>120.84</v>
      </c>
      <c r="D13" s="111">
        <v>0.0</v>
      </c>
      <c r="E13" s="111">
        <v>0.0</v>
      </c>
      <c r="F13" s="111">
        <v>0.0</v>
      </c>
      <c r="G13" s="111">
        <v>0.0</v>
      </c>
      <c r="H13" s="111">
        <v>0.0</v>
      </c>
      <c r="I13" s="111">
        <v>0.0</v>
      </c>
      <c r="J13" s="111">
        <v>0.0</v>
      </c>
      <c r="K13" s="111">
        <v>0.0</v>
      </c>
      <c r="L13" s="111">
        <v>0.0</v>
      </c>
      <c r="M13" s="96">
        <f t="shared" si="3"/>
        <v>120.84</v>
      </c>
      <c r="N13" s="50" t="s">
        <v>45</v>
      </c>
      <c r="O13" s="64">
        <f>+SUM(C2:L32)</f>
        <v>17501.12</v>
      </c>
    </row>
    <row r="14">
      <c r="A14" s="2">
        <v>13.0</v>
      </c>
      <c r="B14" s="91">
        <v>45578.0</v>
      </c>
      <c r="C14" s="111">
        <v>0.0</v>
      </c>
      <c r="D14" s="111">
        <f>390</f>
        <v>390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111">
        <v>0.0</v>
      </c>
      <c r="K14" s="111">
        <v>0.0</v>
      </c>
      <c r="L14" s="111">
        <v>0.0</v>
      </c>
      <c r="M14" s="96">
        <f t="shared" si="3"/>
        <v>390</v>
      </c>
      <c r="O14" s="9"/>
    </row>
    <row r="15">
      <c r="A15" s="2">
        <v>14.0</v>
      </c>
      <c r="B15" s="91">
        <v>45579.0</v>
      </c>
      <c r="C15" s="111">
        <f>58.84+79.75+45+55.75+19.5</f>
        <v>258.84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  <c r="K15" s="111">
        <v>0.0</v>
      </c>
      <c r="L15" s="111">
        <v>0.0</v>
      </c>
      <c r="M15" s="96">
        <f t="shared" si="3"/>
        <v>258.84</v>
      </c>
    </row>
    <row r="16">
      <c r="A16" s="2">
        <v>15.0</v>
      </c>
      <c r="B16" s="91">
        <v>45580.0</v>
      </c>
      <c r="C16" s="111">
        <f>74+10+41.75</f>
        <v>125.75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  <c r="I16" s="111">
        <v>0.0</v>
      </c>
      <c r="J16" s="111">
        <v>0.0</v>
      </c>
      <c r="K16" s="111">
        <v>0.0</v>
      </c>
      <c r="L16" s="111">
        <v>0.0</v>
      </c>
      <c r="M16" s="96">
        <f t="shared" si="3"/>
        <v>125.75</v>
      </c>
    </row>
    <row r="17">
      <c r="A17" s="2">
        <v>16.0</v>
      </c>
      <c r="B17" s="91">
        <v>45581.0</v>
      </c>
      <c r="C17" s="111">
        <v>0.0</v>
      </c>
      <c r="D17" s="111">
        <v>0.0</v>
      </c>
      <c r="E17" s="111">
        <v>0.0</v>
      </c>
      <c r="F17" s="111">
        <v>0.0</v>
      </c>
      <c r="G17" s="111">
        <v>0.0</v>
      </c>
      <c r="H17" s="111">
        <v>0.0</v>
      </c>
      <c r="I17" s="111">
        <v>0.0</v>
      </c>
      <c r="J17" s="111">
        <v>0.0</v>
      </c>
      <c r="K17" s="111">
        <v>0.0</v>
      </c>
      <c r="L17" s="111">
        <v>0.0</v>
      </c>
      <c r="M17" s="96">
        <f t="shared" si="3"/>
        <v>0</v>
      </c>
    </row>
    <row r="18">
      <c r="A18" s="2">
        <v>17.0</v>
      </c>
      <c r="B18" s="91">
        <v>45582.0</v>
      </c>
      <c r="C18" s="111">
        <f>153.25</f>
        <v>153.25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111">
        <v>0.0</v>
      </c>
      <c r="K18" s="111">
        <v>0.0</v>
      </c>
      <c r="L18" s="111">
        <v>0.0</v>
      </c>
      <c r="M18" s="96">
        <f t="shared" si="3"/>
        <v>153.25</v>
      </c>
    </row>
    <row r="19">
      <c r="A19" s="2">
        <v>18.0</v>
      </c>
      <c r="B19" s="91">
        <v>45583.0</v>
      </c>
      <c r="C19" s="111">
        <f>64.5</f>
        <v>64.5</v>
      </c>
      <c r="D19" s="111">
        <v>0.0</v>
      </c>
      <c r="E19" s="111">
        <v>0.0</v>
      </c>
      <c r="F19" s="111">
        <v>0.0</v>
      </c>
      <c r="G19" s="111">
        <v>0.0</v>
      </c>
      <c r="H19" s="111">
        <v>0.0</v>
      </c>
      <c r="I19" s="111">
        <v>0.0</v>
      </c>
      <c r="J19" s="111">
        <v>0.0</v>
      </c>
      <c r="K19" s="111">
        <v>0.0</v>
      </c>
      <c r="L19" s="111">
        <v>0.0</v>
      </c>
      <c r="M19" s="96">
        <f t="shared" si="3"/>
        <v>64.5</v>
      </c>
    </row>
    <row r="20">
      <c r="A20" s="2">
        <v>19.0</v>
      </c>
      <c r="B20" s="91">
        <v>45584.0</v>
      </c>
      <c r="C20" s="111">
        <v>0.0</v>
      </c>
      <c r="D20" s="111">
        <f>800</f>
        <v>800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111">
        <v>0.0</v>
      </c>
      <c r="K20" s="111">
        <v>0.0</v>
      </c>
      <c r="L20" s="111">
        <v>0.0</v>
      </c>
      <c r="M20" s="96">
        <f t="shared" si="3"/>
        <v>800</v>
      </c>
    </row>
    <row r="21">
      <c r="A21" s="2">
        <v>20.0</v>
      </c>
      <c r="B21" s="91">
        <v>45585.0</v>
      </c>
      <c r="C21" s="111">
        <f>413.55</f>
        <v>413.55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111">
        <v>0.0</v>
      </c>
      <c r="L21" s="111">
        <v>0.0</v>
      </c>
      <c r="M21" s="96">
        <f>SUMIF(D21:L21,"&lt;&gt;")</f>
        <v>0</v>
      </c>
    </row>
    <row r="22">
      <c r="A22" s="2">
        <v>21.0</v>
      </c>
      <c r="B22" s="91">
        <v>45586.0</v>
      </c>
      <c r="C22" s="111">
        <v>0.0</v>
      </c>
      <c r="D22" s="111">
        <v>0.0</v>
      </c>
      <c r="E22" s="111">
        <v>0.0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  <c r="K22" s="111">
        <v>0.0</v>
      </c>
      <c r="L22" s="111">
        <v>0.0</v>
      </c>
      <c r="M22" s="96">
        <f t="shared" ref="M22:M32" si="4">SUMIF(C22:L22,"&lt;&gt;")</f>
        <v>0</v>
      </c>
    </row>
    <row r="23">
      <c r="A23" s="2">
        <v>22.0</v>
      </c>
      <c r="B23" s="91">
        <v>45587.0</v>
      </c>
      <c r="C23" s="111">
        <f>64.88</f>
        <v>64.88</v>
      </c>
      <c r="D23" s="111">
        <v>0.0</v>
      </c>
      <c r="E23" s="111">
        <v>0.0</v>
      </c>
      <c r="F23" s="111">
        <v>0.0</v>
      </c>
      <c r="G23" s="111">
        <v>0.0</v>
      </c>
      <c r="H23" s="111">
        <f>1382.5</f>
        <v>1382.5</v>
      </c>
      <c r="I23" s="111">
        <v>0.0</v>
      </c>
      <c r="J23" s="111">
        <v>0.0</v>
      </c>
      <c r="K23" s="111">
        <v>0.0</v>
      </c>
      <c r="L23" s="111">
        <v>0.0</v>
      </c>
      <c r="M23" s="96">
        <f t="shared" si="4"/>
        <v>1447.38</v>
      </c>
    </row>
    <row r="24">
      <c r="A24" s="2">
        <v>23.0</v>
      </c>
      <c r="B24" s="91">
        <v>45588.0</v>
      </c>
      <c r="C24" s="111">
        <v>0.0</v>
      </c>
      <c r="D24" s="111">
        <v>0.0</v>
      </c>
      <c r="E24" s="111">
        <v>0.0</v>
      </c>
      <c r="F24" s="111">
        <v>0.0</v>
      </c>
      <c r="G24" s="111">
        <v>0.0</v>
      </c>
      <c r="H24" s="111">
        <f>38.01</f>
        <v>38.01</v>
      </c>
      <c r="I24" s="111">
        <v>0.0</v>
      </c>
      <c r="J24" s="111">
        <v>0.0</v>
      </c>
      <c r="K24" s="111">
        <v>0.0</v>
      </c>
      <c r="L24" s="111">
        <v>0.0</v>
      </c>
      <c r="M24" s="96">
        <f t="shared" si="4"/>
        <v>38.01</v>
      </c>
    </row>
    <row r="25">
      <c r="A25" s="2">
        <v>24.0</v>
      </c>
      <c r="B25" s="91">
        <v>45589.0</v>
      </c>
      <c r="C25" s="111">
        <f>337.07</f>
        <v>337.07</v>
      </c>
      <c r="D25" s="111">
        <v>0.0</v>
      </c>
      <c r="E25" s="111">
        <v>0.0</v>
      </c>
      <c r="F25" s="111">
        <v>0.0</v>
      </c>
      <c r="G25" s="111">
        <v>0.0</v>
      </c>
      <c r="H25" s="111">
        <v>0.0</v>
      </c>
      <c r="I25" s="111">
        <v>0.0</v>
      </c>
      <c r="J25" s="111">
        <v>0.0</v>
      </c>
      <c r="K25" s="111">
        <v>0.0</v>
      </c>
      <c r="L25" s="111">
        <f>169.76</f>
        <v>169.76</v>
      </c>
      <c r="M25" s="96">
        <f t="shared" si="4"/>
        <v>506.83</v>
      </c>
    </row>
    <row r="26">
      <c r="A26" s="2">
        <v>25.0</v>
      </c>
      <c r="B26" s="91">
        <v>45590.0</v>
      </c>
      <c r="C26" s="111">
        <f>681.8</f>
        <v>681.8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  <c r="K26" s="111">
        <v>0.0</v>
      </c>
      <c r="L26" s="111">
        <f>425.86</f>
        <v>425.86</v>
      </c>
      <c r="M26" s="96">
        <f t="shared" si="4"/>
        <v>1107.66</v>
      </c>
    </row>
    <row r="27">
      <c r="A27" s="2">
        <v>26.0</v>
      </c>
      <c r="B27" s="91">
        <v>45591.0</v>
      </c>
      <c r="C27" s="111">
        <v>0.0</v>
      </c>
      <c r="D27" s="111">
        <f>305</f>
        <v>305</v>
      </c>
      <c r="E27" s="111">
        <v>0.0</v>
      </c>
      <c r="F27" s="111">
        <v>0.0</v>
      </c>
      <c r="G27" s="111">
        <v>0.0</v>
      </c>
      <c r="H27" s="111">
        <v>0.0</v>
      </c>
      <c r="I27" s="111">
        <v>0.0</v>
      </c>
      <c r="J27" s="111">
        <v>0.0</v>
      </c>
      <c r="K27" s="111">
        <v>0.0</v>
      </c>
      <c r="L27" s="111">
        <f>21+15</f>
        <v>36</v>
      </c>
      <c r="M27" s="96">
        <f t="shared" si="4"/>
        <v>341</v>
      </c>
    </row>
    <row r="28">
      <c r="A28" s="2">
        <v>27.0</v>
      </c>
      <c r="B28" s="91">
        <v>45592.0</v>
      </c>
      <c r="C28" s="111">
        <v>0.0</v>
      </c>
      <c r="D28" s="111">
        <v>0.0</v>
      </c>
      <c r="E28" s="111">
        <v>0.0</v>
      </c>
      <c r="F28" s="111">
        <v>0.0</v>
      </c>
      <c r="G28" s="111">
        <v>0.0</v>
      </c>
      <c r="H28" s="111">
        <v>0.0</v>
      </c>
      <c r="I28" s="111">
        <v>0.0</v>
      </c>
      <c r="J28" s="111">
        <v>0.0</v>
      </c>
      <c r="K28" s="111">
        <v>0.0</v>
      </c>
      <c r="L28" s="111">
        <v>0.0</v>
      </c>
      <c r="M28" s="96">
        <f t="shared" si="4"/>
        <v>0</v>
      </c>
    </row>
    <row r="29">
      <c r="A29" s="2">
        <v>28.0</v>
      </c>
      <c r="B29" s="91">
        <v>45593.0</v>
      </c>
      <c r="C29" s="111">
        <f>25+166.75</f>
        <v>191.75</v>
      </c>
      <c r="D29" s="111">
        <v>0.0</v>
      </c>
      <c r="E29" s="111">
        <v>0.0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  <c r="K29" s="111">
        <v>0.0</v>
      </c>
      <c r="L29" s="111">
        <v>0.0</v>
      </c>
      <c r="M29" s="96">
        <f t="shared" si="4"/>
        <v>191.75</v>
      </c>
    </row>
    <row r="30">
      <c r="A30" s="2">
        <v>29.0</v>
      </c>
      <c r="B30" s="91">
        <v>45594.0</v>
      </c>
      <c r="C30" s="111">
        <f>47.93</f>
        <v>47.93</v>
      </c>
      <c r="D30" s="111">
        <f>755</f>
        <v>755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111">
        <v>0.0</v>
      </c>
      <c r="K30" s="111">
        <v>0.0</v>
      </c>
      <c r="L30" s="111">
        <f>15</f>
        <v>15</v>
      </c>
      <c r="M30" s="96">
        <f t="shared" si="4"/>
        <v>817.93</v>
      </c>
    </row>
    <row r="31">
      <c r="A31" s="2">
        <v>30.0</v>
      </c>
      <c r="B31" s="91">
        <v>45595.0</v>
      </c>
      <c r="C31" s="111">
        <v>0.0</v>
      </c>
      <c r="D31" s="111">
        <v>0.0</v>
      </c>
      <c r="E31" s="111">
        <v>0.0</v>
      </c>
      <c r="F31" s="111">
        <v>0.0</v>
      </c>
      <c r="G31" s="111">
        <v>0.0</v>
      </c>
      <c r="H31" s="111">
        <v>0.0</v>
      </c>
      <c r="I31" s="111">
        <v>0.0</v>
      </c>
      <c r="J31" s="111">
        <v>0.0</v>
      </c>
      <c r="K31" s="111">
        <v>0.0</v>
      </c>
      <c r="L31" s="111">
        <f>21+23.5</f>
        <v>44.5</v>
      </c>
      <c r="M31" s="96">
        <f t="shared" si="4"/>
        <v>44.5</v>
      </c>
    </row>
    <row r="32">
      <c r="A32" s="2">
        <v>31.0</v>
      </c>
      <c r="B32" s="91">
        <v>45596.0</v>
      </c>
      <c r="C32" s="111">
        <f>294.7+290.07</f>
        <v>584.77</v>
      </c>
      <c r="D32" s="111">
        <v>0.0</v>
      </c>
      <c r="E32" s="111">
        <v>0.0</v>
      </c>
      <c r="F32" s="111">
        <f>2500+2000</f>
        <v>4500</v>
      </c>
      <c r="G32" s="111">
        <f>330</f>
        <v>330</v>
      </c>
      <c r="H32" s="111">
        <v>0.0</v>
      </c>
      <c r="I32" s="111">
        <v>0.0</v>
      </c>
      <c r="J32" s="111">
        <v>0.0</v>
      </c>
      <c r="K32" s="111">
        <v>0.0</v>
      </c>
      <c r="L32" s="111">
        <f>558+7.5</f>
        <v>565.5</v>
      </c>
      <c r="M32" s="96">
        <f t="shared" si="4"/>
        <v>5980.27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3" max="3" width="7.29"/>
    <col customWidth="1" min="4" max="4" width="7.0"/>
    <col customWidth="1" min="5" max="5" width="9.29"/>
    <col customWidth="1" min="6" max="6" width="5.0"/>
    <col customWidth="1" min="7" max="8" width="8.0"/>
    <col customWidth="1" min="9" max="9" width="8.57"/>
    <col customWidth="1" min="10" max="10" width="4.86"/>
    <col customWidth="1" min="11" max="11" width="7.0"/>
    <col customWidth="1" min="12" max="12" width="8.0"/>
    <col customWidth="1" min="13" max="13" width="9.86"/>
  </cols>
  <sheetData>
    <row r="1">
      <c r="B1" s="106" t="s">
        <v>60</v>
      </c>
      <c r="C1" s="132" t="s">
        <v>34</v>
      </c>
      <c r="D1" s="133" t="s">
        <v>35</v>
      </c>
      <c r="E1" s="134" t="s">
        <v>61</v>
      </c>
      <c r="F1" s="134" t="s">
        <v>62</v>
      </c>
      <c r="G1" s="134" t="s">
        <v>40</v>
      </c>
      <c r="H1" s="134" t="s">
        <v>36</v>
      </c>
      <c r="I1" s="134" t="s">
        <v>63</v>
      </c>
      <c r="J1" s="134" t="s">
        <v>64</v>
      </c>
      <c r="K1" s="134" t="s">
        <v>65</v>
      </c>
      <c r="L1" s="134" t="s">
        <v>66</v>
      </c>
      <c r="M1" s="109" t="s">
        <v>67</v>
      </c>
    </row>
    <row r="2">
      <c r="A2" s="2">
        <v>1.0</v>
      </c>
      <c r="B2" s="91">
        <v>45597.0</v>
      </c>
      <c r="C2" s="111">
        <v>0.0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1">
        <v>0.0</v>
      </c>
      <c r="J2" s="111">
        <v>0.0</v>
      </c>
      <c r="K2" s="111">
        <v>0.0</v>
      </c>
      <c r="L2" s="111">
        <v>0.0</v>
      </c>
      <c r="M2" s="96">
        <f>SUMIF(C2:L2,"&lt;&gt;")</f>
        <v>0</v>
      </c>
      <c r="N2" s="48" t="s">
        <v>68</v>
      </c>
      <c r="O2" s="49">
        <f>+SUM(C2:C31,D2:D31)/ COUNTIFS(C2:C31, "&lt;&gt;", D2:D31, "&lt;&gt;")</f>
        <v>142.5986667</v>
      </c>
    </row>
    <row r="3">
      <c r="A3" s="2">
        <v>2.0</v>
      </c>
      <c r="B3" s="91">
        <v>45598.0</v>
      </c>
      <c r="C3" s="111">
        <f>64+64</f>
        <v>128</v>
      </c>
      <c r="D3" s="111">
        <v>0.0</v>
      </c>
      <c r="E3" s="111">
        <v>0.0</v>
      </c>
      <c r="F3" s="111">
        <v>0.0</v>
      </c>
      <c r="G3" s="111">
        <f>594.3</f>
        <v>594.3</v>
      </c>
      <c r="H3" s="111">
        <v>0.0</v>
      </c>
      <c r="I3" s="111">
        <f>25.94</f>
        <v>25.94</v>
      </c>
      <c r="J3" s="111">
        <v>0.0</v>
      </c>
      <c r="K3" s="111">
        <v>0.0</v>
      </c>
      <c r="L3" s="111">
        <v>0.0</v>
      </c>
      <c r="M3" s="96">
        <f>SUMIF(C3:K3,"&lt;&gt;")</f>
        <v>748.24</v>
      </c>
      <c r="N3" s="50" t="s">
        <v>69</v>
      </c>
      <c r="O3" s="51">
        <f>+O13 / COUNTIF(C2:C31, "&lt;&gt;")</f>
        <v>683.6153333</v>
      </c>
    </row>
    <row r="4">
      <c r="A4" s="2">
        <v>3.0</v>
      </c>
      <c r="B4" s="91">
        <v>45599.0</v>
      </c>
      <c r="C4" s="111">
        <f>17.5</f>
        <v>17.5</v>
      </c>
      <c r="D4" s="111">
        <f>335</f>
        <v>335</v>
      </c>
      <c r="E4" s="111">
        <v>0.0</v>
      </c>
      <c r="F4" s="111">
        <v>0.0</v>
      </c>
      <c r="G4" s="111">
        <v>0.0</v>
      </c>
      <c r="H4" s="111">
        <v>0.0</v>
      </c>
      <c r="I4" s="111">
        <f>19.9</f>
        <v>19.9</v>
      </c>
      <c r="J4" s="111">
        <v>0.0</v>
      </c>
      <c r="K4" s="111">
        <v>0.0</v>
      </c>
      <c r="L4" s="111">
        <v>0.0</v>
      </c>
      <c r="M4" s="96">
        <f t="shared" ref="M4:M6" si="1">SUMIF(C4:L4,"&lt;&gt;")</f>
        <v>372.4</v>
      </c>
      <c r="N4" s="48" t="s">
        <v>70</v>
      </c>
      <c r="O4" s="52">
        <f>+SUM(C2:C31)</f>
        <v>2291.43</v>
      </c>
    </row>
    <row r="5">
      <c r="A5" s="2">
        <v>4.0</v>
      </c>
      <c r="B5" s="91">
        <v>45600.0</v>
      </c>
      <c r="C5" s="111">
        <v>0.0</v>
      </c>
      <c r="D5" s="111">
        <v>0.0</v>
      </c>
      <c r="E5" s="111">
        <v>0.0</v>
      </c>
      <c r="F5" s="111">
        <v>0.0</v>
      </c>
      <c r="G5" s="111">
        <v>0.0</v>
      </c>
      <c r="H5" s="111">
        <f>470</f>
        <v>470</v>
      </c>
      <c r="I5" s="111">
        <v>0.0</v>
      </c>
      <c r="J5" s="111">
        <v>0.0</v>
      </c>
      <c r="K5" s="111">
        <v>0.0</v>
      </c>
      <c r="L5" s="111">
        <v>0.0</v>
      </c>
      <c r="M5" s="96">
        <f t="shared" si="1"/>
        <v>470</v>
      </c>
      <c r="N5" s="53" t="s">
        <v>71</v>
      </c>
      <c r="O5" s="54">
        <f>+SUM(D2:D31)</f>
        <v>1986.53</v>
      </c>
    </row>
    <row r="6">
      <c r="A6" s="2">
        <v>5.0</v>
      </c>
      <c r="B6" s="91">
        <v>45601.0</v>
      </c>
      <c r="C6" s="111">
        <v>0.0</v>
      </c>
      <c r="D6" s="111">
        <v>0.0</v>
      </c>
      <c r="E6" s="111">
        <v>0.0</v>
      </c>
      <c r="F6" s="111">
        <v>0.0</v>
      </c>
      <c r="G6" s="111">
        <v>0.0</v>
      </c>
      <c r="H6" s="111">
        <v>0.0</v>
      </c>
      <c r="I6" s="111">
        <f>39</f>
        <v>39</v>
      </c>
      <c r="J6" s="111">
        <v>0.0</v>
      </c>
      <c r="K6" s="111">
        <v>0.0</v>
      </c>
      <c r="L6" s="111">
        <v>0.0</v>
      </c>
      <c r="M6" s="96">
        <f t="shared" si="1"/>
        <v>39</v>
      </c>
      <c r="N6" s="53" t="s">
        <v>72</v>
      </c>
      <c r="O6" s="55">
        <f>SUM(J2:J31)</f>
        <v>0</v>
      </c>
    </row>
    <row r="7">
      <c r="A7" s="2">
        <v>6.0</v>
      </c>
      <c r="B7" s="91">
        <v>45602.0</v>
      </c>
      <c r="C7" s="111">
        <v>0.0</v>
      </c>
      <c r="D7" s="111">
        <f>90+159+159</f>
        <v>408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111">
        <v>0.0</v>
      </c>
      <c r="K7" s="111">
        <v>0.0</v>
      </c>
      <c r="L7" s="111">
        <f>7992</f>
        <v>7992</v>
      </c>
      <c r="M7" s="96">
        <f t="shared" ref="M7:M8" si="2">SUMIF(C7:K7,"&lt;&gt;")</f>
        <v>408</v>
      </c>
      <c r="N7" s="53" t="s">
        <v>73</v>
      </c>
      <c r="O7" s="56">
        <f>SUM(K2:K31)</f>
        <v>139.99</v>
      </c>
    </row>
    <row r="8">
      <c r="A8" s="2">
        <v>7.0</v>
      </c>
      <c r="B8" s="91">
        <v>45603.0</v>
      </c>
      <c r="C8" s="111">
        <v>0.0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111">
        <v>0.0</v>
      </c>
      <c r="L8" s="111">
        <v>0.0</v>
      </c>
      <c r="M8" s="96">
        <f t="shared" si="2"/>
        <v>0</v>
      </c>
      <c r="N8" s="57" t="s">
        <v>74</v>
      </c>
      <c r="O8" s="58">
        <f>+SUM(E2:E31)</f>
        <v>1293.99</v>
      </c>
    </row>
    <row r="9">
      <c r="A9" s="2">
        <v>8.0</v>
      </c>
      <c r="B9" s="91">
        <v>45604.0</v>
      </c>
      <c r="C9" s="111">
        <v>0.0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111">
        <v>0.0</v>
      </c>
      <c r="L9" s="111">
        <v>0.0</v>
      </c>
      <c r="M9" s="96">
        <f t="shared" ref="M9:M20" si="3">SUMIF(C9:L9,"&lt;&gt;")</f>
        <v>0</v>
      </c>
      <c r="N9" s="59" t="s">
        <v>75</v>
      </c>
      <c r="O9" s="60">
        <f>Sum(H2:H31)</f>
        <v>4095.88</v>
      </c>
    </row>
    <row r="10">
      <c r="A10" s="2">
        <v>9.0</v>
      </c>
      <c r="B10" s="91">
        <v>45605.0</v>
      </c>
      <c r="C10" s="111">
        <v>0.0</v>
      </c>
      <c r="D10" s="111">
        <f>51.53</f>
        <v>51.53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111">
        <v>0.0</v>
      </c>
      <c r="L10" s="111">
        <v>0.0</v>
      </c>
      <c r="M10" s="96">
        <f t="shared" si="3"/>
        <v>51.53</v>
      </c>
      <c r="N10" s="59" t="s">
        <v>76</v>
      </c>
      <c r="O10" s="61">
        <f>SUM(I2:I31)</f>
        <v>84.84</v>
      </c>
    </row>
    <row r="11">
      <c r="A11" s="2">
        <v>10.0</v>
      </c>
      <c r="B11" s="91">
        <v>45606.0</v>
      </c>
      <c r="C11" s="111">
        <f>55+28.5</f>
        <v>83.5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I11" s="111">
        <v>0.0</v>
      </c>
      <c r="J11" s="111">
        <v>0.0</v>
      </c>
      <c r="K11" s="111">
        <v>0.0</v>
      </c>
      <c r="L11" s="111">
        <v>0.0</v>
      </c>
      <c r="M11" s="96">
        <f t="shared" si="3"/>
        <v>83.5</v>
      </c>
      <c r="N11" s="59" t="s">
        <v>77</v>
      </c>
      <c r="O11" s="62">
        <f>+SUM(L2:L31)</f>
        <v>8849</v>
      </c>
    </row>
    <row r="12">
      <c r="A12" s="2">
        <v>11.0</v>
      </c>
      <c r="B12" s="91">
        <v>45607.0</v>
      </c>
      <c r="C12" s="111">
        <v>0.0</v>
      </c>
      <c r="D12" s="111">
        <v>0.0</v>
      </c>
      <c r="E12" s="111">
        <v>0.0</v>
      </c>
      <c r="F12" s="111">
        <v>0.0</v>
      </c>
      <c r="G12" s="111">
        <v>0.0</v>
      </c>
      <c r="H12" s="111">
        <v>3625.88</v>
      </c>
      <c r="I12" s="111">
        <v>0.0</v>
      </c>
      <c r="J12" s="111">
        <v>0.0</v>
      </c>
      <c r="K12" s="111">
        <v>0.0</v>
      </c>
      <c r="L12" s="111">
        <v>0.0</v>
      </c>
      <c r="M12" s="96">
        <f t="shared" si="3"/>
        <v>3625.88</v>
      </c>
      <c r="N12" s="59" t="s">
        <v>40</v>
      </c>
      <c r="O12" s="63">
        <f>sum(G2:G31)</f>
        <v>1766.8</v>
      </c>
    </row>
    <row r="13">
      <c r="A13" s="2">
        <v>12.0</v>
      </c>
      <c r="B13" s="91">
        <v>45608.0</v>
      </c>
      <c r="C13" s="111">
        <v>0.0</v>
      </c>
      <c r="D13" s="111">
        <v>0.0</v>
      </c>
      <c r="E13" s="111">
        <v>0.0</v>
      </c>
      <c r="F13" s="111">
        <v>0.0</v>
      </c>
      <c r="G13" s="111">
        <v>0.0</v>
      </c>
      <c r="H13" s="111">
        <v>0.0</v>
      </c>
      <c r="I13" s="111">
        <v>0.0</v>
      </c>
      <c r="J13" s="111">
        <v>0.0</v>
      </c>
      <c r="K13" s="111">
        <v>0.0</v>
      </c>
      <c r="L13" s="111">
        <v>0.0</v>
      </c>
      <c r="M13" s="96">
        <f t="shared" si="3"/>
        <v>0</v>
      </c>
      <c r="N13" s="50" t="s">
        <v>45</v>
      </c>
      <c r="O13" s="64">
        <f>+SUM(C2:L31)</f>
        <v>20508.46</v>
      </c>
    </row>
    <row r="14">
      <c r="A14" s="2">
        <v>13.0</v>
      </c>
      <c r="B14" s="91">
        <v>45609.0</v>
      </c>
      <c r="C14" s="111">
        <v>0.0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111">
        <v>0.0</v>
      </c>
      <c r="K14" s="111">
        <v>0.0</v>
      </c>
      <c r="L14" s="111">
        <v>0.0</v>
      </c>
      <c r="M14" s="96">
        <f t="shared" si="3"/>
        <v>0</v>
      </c>
      <c r="O14" s="9"/>
    </row>
    <row r="15">
      <c r="A15" s="2">
        <v>14.0</v>
      </c>
      <c r="B15" s="91">
        <v>45610.0</v>
      </c>
      <c r="C15" s="111">
        <v>0.0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  <c r="K15" s="111">
        <v>0.0</v>
      </c>
      <c r="L15" s="111">
        <v>0.0</v>
      </c>
      <c r="M15" s="96">
        <f t="shared" si="3"/>
        <v>0</v>
      </c>
    </row>
    <row r="16">
      <c r="A16" s="2">
        <v>15.0</v>
      </c>
      <c r="B16" s="91">
        <v>45611.0</v>
      </c>
      <c r="C16" s="111">
        <v>0.0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  <c r="I16" s="111">
        <v>0.0</v>
      </c>
      <c r="J16" s="111">
        <v>0.0</v>
      </c>
      <c r="K16" s="111">
        <v>0.0</v>
      </c>
      <c r="L16" s="111">
        <v>0.0</v>
      </c>
      <c r="M16" s="96">
        <f t="shared" si="3"/>
        <v>0</v>
      </c>
    </row>
    <row r="17">
      <c r="A17" s="2">
        <v>16.0</v>
      </c>
      <c r="B17" s="91">
        <v>45612.0</v>
      </c>
      <c r="C17" s="111">
        <f>61.5+664</f>
        <v>725.5</v>
      </c>
      <c r="D17" s="111">
        <f>221</f>
        <v>221</v>
      </c>
      <c r="E17" s="111">
        <v>0.0</v>
      </c>
      <c r="F17" s="111">
        <v>0.0</v>
      </c>
      <c r="G17" s="111">
        <v>0.0</v>
      </c>
      <c r="H17" s="111">
        <v>0.0</v>
      </c>
      <c r="I17" s="111">
        <v>0.0</v>
      </c>
      <c r="J17" s="111">
        <v>0.0</v>
      </c>
      <c r="K17" s="111">
        <v>0.0</v>
      </c>
      <c r="L17" s="111">
        <v>0.0</v>
      </c>
      <c r="M17" s="96">
        <f t="shared" si="3"/>
        <v>946.5</v>
      </c>
    </row>
    <row r="18">
      <c r="A18" s="2">
        <v>17.0</v>
      </c>
      <c r="B18" s="91">
        <v>45613.0</v>
      </c>
      <c r="C18" s="111">
        <f>57.75</f>
        <v>57.75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111">
        <v>0.0</v>
      </c>
      <c r="K18" s="111">
        <v>0.0</v>
      </c>
      <c r="L18" s="111">
        <v>0.0</v>
      </c>
      <c r="M18" s="96">
        <f t="shared" si="3"/>
        <v>57.75</v>
      </c>
    </row>
    <row r="19">
      <c r="A19" s="2">
        <v>18.0</v>
      </c>
      <c r="B19" s="91">
        <v>45614.0</v>
      </c>
      <c r="C19" s="111">
        <f>30+160.1+176.55</f>
        <v>366.65</v>
      </c>
      <c r="D19" s="111">
        <v>0.0</v>
      </c>
      <c r="E19" s="111">
        <v>0.0</v>
      </c>
      <c r="F19" s="111">
        <v>0.0</v>
      </c>
      <c r="G19" s="111">
        <v>0.0</v>
      </c>
      <c r="H19" s="111">
        <v>0.0</v>
      </c>
      <c r="I19" s="111">
        <v>0.0</v>
      </c>
      <c r="J19" s="111">
        <v>0.0</v>
      </c>
      <c r="K19" s="111">
        <v>0.0</v>
      </c>
      <c r="L19" s="111">
        <f>217</f>
        <v>217</v>
      </c>
      <c r="M19" s="96">
        <f t="shared" si="3"/>
        <v>583.65</v>
      </c>
    </row>
    <row r="20">
      <c r="A20" s="2">
        <v>19.0</v>
      </c>
      <c r="B20" s="91">
        <v>45615.0</v>
      </c>
      <c r="C20" s="111">
        <v>0.0</v>
      </c>
      <c r="D20" s="111">
        <f>221</f>
        <v>221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111">
        <v>0.0</v>
      </c>
      <c r="K20" s="111">
        <v>0.0</v>
      </c>
      <c r="L20" s="111">
        <v>0.0</v>
      </c>
      <c r="M20" s="96">
        <f t="shared" si="3"/>
        <v>221</v>
      </c>
    </row>
    <row r="21">
      <c r="A21" s="2">
        <v>20.0</v>
      </c>
      <c r="B21" s="91">
        <v>45616.0</v>
      </c>
      <c r="C21" s="111">
        <f>39+103+39.75</f>
        <v>181.75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111">
        <v>0.0</v>
      </c>
      <c r="L21" s="111">
        <v>0.0</v>
      </c>
      <c r="M21" s="96">
        <f>SUMIF(D21:L21,"&lt;&gt;")</f>
        <v>0</v>
      </c>
    </row>
    <row r="22">
      <c r="A22" s="2">
        <v>21.0</v>
      </c>
      <c r="B22" s="91">
        <v>45617.0</v>
      </c>
      <c r="C22" s="111">
        <f>119.25+47.75</f>
        <v>167</v>
      </c>
      <c r="D22" s="111">
        <v>0.0</v>
      </c>
      <c r="E22" s="111">
        <v>0.0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  <c r="K22" s="111">
        <v>0.0</v>
      </c>
      <c r="L22" s="111">
        <f>100</f>
        <v>100</v>
      </c>
      <c r="M22" s="96">
        <f t="shared" ref="M22:M31" si="4">SUMIF(C22:L22,"&lt;&gt;")</f>
        <v>267</v>
      </c>
    </row>
    <row r="23">
      <c r="A23" s="2">
        <v>22.0</v>
      </c>
      <c r="B23" s="91">
        <v>45618.0</v>
      </c>
      <c r="C23" s="111">
        <v>0.0</v>
      </c>
      <c r="D23" s="111">
        <v>0.0</v>
      </c>
      <c r="E23" s="111">
        <f>529+560</f>
        <v>1089</v>
      </c>
      <c r="F23" s="111">
        <v>0.0</v>
      </c>
      <c r="G23" s="111">
        <v>0.0</v>
      </c>
      <c r="H23" s="111">
        <v>0.0</v>
      </c>
      <c r="I23" s="111">
        <v>0.0</v>
      </c>
      <c r="J23" s="111">
        <v>0.0</v>
      </c>
      <c r="K23" s="111">
        <v>0.0</v>
      </c>
      <c r="L23" s="111">
        <v>0.0</v>
      </c>
      <c r="M23" s="96">
        <f t="shared" si="4"/>
        <v>1089</v>
      </c>
    </row>
    <row r="24">
      <c r="A24" s="2">
        <v>23.0</v>
      </c>
      <c r="B24" s="91">
        <v>45619.0</v>
      </c>
      <c r="C24" s="111">
        <v>0.0</v>
      </c>
      <c r="D24" s="111">
        <f>750</f>
        <v>750</v>
      </c>
      <c r="E24" s="111">
        <v>0.0</v>
      </c>
      <c r="F24" s="111">
        <v>0.0</v>
      </c>
      <c r="G24" s="111">
        <v>0.0</v>
      </c>
      <c r="H24" s="111">
        <v>0.0</v>
      </c>
      <c r="I24" s="111">
        <v>0.0</v>
      </c>
      <c r="J24" s="111">
        <v>0.0</v>
      </c>
      <c r="K24" s="111">
        <f>139.99</f>
        <v>139.99</v>
      </c>
      <c r="L24" s="111">
        <v>0.0</v>
      </c>
      <c r="M24" s="96">
        <f t="shared" si="4"/>
        <v>889.99</v>
      </c>
    </row>
    <row r="25">
      <c r="A25" s="2">
        <v>24.0</v>
      </c>
      <c r="B25" s="91">
        <v>45620.0</v>
      </c>
      <c r="C25" s="111">
        <f>90+36.06+81.25</f>
        <v>207.31</v>
      </c>
      <c r="D25" s="111">
        <v>0.0</v>
      </c>
      <c r="E25" s="111">
        <f>204.99</f>
        <v>204.99</v>
      </c>
      <c r="F25" s="111">
        <v>0.0</v>
      </c>
      <c r="G25" s="111">
        <v>0.0</v>
      </c>
      <c r="H25" s="111">
        <v>0.0</v>
      </c>
      <c r="I25" s="111">
        <v>0.0</v>
      </c>
      <c r="J25" s="111">
        <v>0.0</v>
      </c>
      <c r="K25" s="111">
        <v>0.0</v>
      </c>
      <c r="L25" s="111">
        <v>0.0</v>
      </c>
      <c r="M25" s="96">
        <f t="shared" si="4"/>
        <v>412.3</v>
      </c>
    </row>
    <row r="26">
      <c r="A26" s="2">
        <v>25.0</v>
      </c>
      <c r="B26" s="91">
        <v>45621.0</v>
      </c>
      <c r="C26" s="111">
        <v>0.0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  <c r="K26" s="111">
        <v>0.0</v>
      </c>
      <c r="L26" s="111">
        <v>0.0</v>
      </c>
      <c r="M26" s="96">
        <f t="shared" si="4"/>
        <v>0</v>
      </c>
    </row>
    <row r="27">
      <c r="A27" s="2">
        <v>26.0</v>
      </c>
      <c r="B27" s="91">
        <v>45622.0</v>
      </c>
      <c r="C27" s="111">
        <v>0.0</v>
      </c>
      <c r="D27" s="111">
        <v>0.0</v>
      </c>
      <c r="E27" s="111">
        <v>0.0</v>
      </c>
      <c r="F27" s="111">
        <v>0.0</v>
      </c>
      <c r="G27" s="111">
        <v>0.0</v>
      </c>
      <c r="H27" s="111">
        <v>0.0</v>
      </c>
      <c r="I27" s="111">
        <v>0.0</v>
      </c>
      <c r="J27" s="111">
        <v>0.0</v>
      </c>
      <c r="K27" s="111">
        <v>0.0</v>
      </c>
      <c r="L27" s="111">
        <v>0.0</v>
      </c>
      <c r="M27" s="96">
        <f t="shared" si="4"/>
        <v>0</v>
      </c>
    </row>
    <row r="28">
      <c r="A28" s="2">
        <v>27.0</v>
      </c>
      <c r="B28" s="91">
        <v>45623.0</v>
      </c>
      <c r="C28" s="111">
        <v>0.0</v>
      </c>
      <c r="D28" s="111">
        <v>0.0</v>
      </c>
      <c r="E28" s="111">
        <v>0.0</v>
      </c>
      <c r="F28" s="111">
        <v>0.0</v>
      </c>
      <c r="G28" s="111">
        <v>0.0</v>
      </c>
      <c r="H28" s="111">
        <v>0.0</v>
      </c>
      <c r="I28" s="111">
        <v>0.0</v>
      </c>
      <c r="J28" s="111">
        <v>0.0</v>
      </c>
      <c r="K28" s="111">
        <v>0.0</v>
      </c>
      <c r="L28" s="111">
        <v>0.0</v>
      </c>
      <c r="M28" s="96">
        <f t="shared" si="4"/>
        <v>0</v>
      </c>
    </row>
    <row r="29">
      <c r="A29" s="2">
        <v>28.0</v>
      </c>
      <c r="B29" s="91">
        <v>45624.0</v>
      </c>
      <c r="C29" s="111">
        <v>0.0</v>
      </c>
      <c r="D29" s="111">
        <v>0.0</v>
      </c>
      <c r="E29" s="111">
        <v>0.0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  <c r="K29" s="111">
        <v>0.0</v>
      </c>
      <c r="L29" s="111">
        <v>0.0</v>
      </c>
      <c r="M29" s="96">
        <f t="shared" si="4"/>
        <v>0</v>
      </c>
    </row>
    <row r="30">
      <c r="A30" s="2">
        <v>29.0</v>
      </c>
      <c r="B30" s="91">
        <v>45625.0</v>
      </c>
      <c r="C30" s="111">
        <v>0.0</v>
      </c>
      <c r="D30" s="111">
        <v>0.0</v>
      </c>
      <c r="E30" s="111">
        <v>0.0</v>
      </c>
      <c r="F30" s="111">
        <v>0.0</v>
      </c>
      <c r="G30" s="111">
        <f>1172.5</f>
        <v>1172.5</v>
      </c>
      <c r="H30" s="111">
        <v>0.0</v>
      </c>
      <c r="I30" s="111">
        <v>0.0</v>
      </c>
      <c r="J30" s="111">
        <v>0.0</v>
      </c>
      <c r="K30" s="111">
        <v>0.0</v>
      </c>
      <c r="L30" s="111">
        <f>540</f>
        <v>540</v>
      </c>
      <c r="M30" s="96">
        <f t="shared" si="4"/>
        <v>1712.5</v>
      </c>
    </row>
    <row r="31">
      <c r="A31" s="2">
        <v>30.0</v>
      </c>
      <c r="B31" s="91">
        <v>45626.0</v>
      </c>
      <c r="C31" s="111">
        <f>101.47+255</f>
        <v>356.47</v>
      </c>
      <c r="D31" s="111">
        <v>0.0</v>
      </c>
      <c r="E31" s="111">
        <v>0.0</v>
      </c>
      <c r="F31" s="111">
        <v>0.0</v>
      </c>
      <c r="G31" s="111">
        <v>0.0</v>
      </c>
      <c r="H31" s="111">
        <v>0.0</v>
      </c>
      <c r="I31" s="111">
        <v>0.0</v>
      </c>
      <c r="J31" s="111">
        <v>0.0</v>
      </c>
      <c r="K31" s="111">
        <v>0.0</v>
      </c>
      <c r="L31" s="111">
        <v>0.0</v>
      </c>
      <c r="M31" s="96">
        <f t="shared" si="4"/>
        <v>356.47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</cols>
  <sheetData>
    <row r="1">
      <c r="B1" s="106" t="s">
        <v>60</v>
      </c>
      <c r="C1" s="107" t="s">
        <v>34</v>
      </c>
      <c r="D1" s="128" t="s">
        <v>82</v>
      </c>
      <c r="E1" s="108" t="s">
        <v>61</v>
      </c>
      <c r="F1" s="108" t="s">
        <v>62</v>
      </c>
      <c r="G1" s="108" t="s">
        <v>40</v>
      </c>
      <c r="H1" s="108" t="s">
        <v>36</v>
      </c>
      <c r="I1" s="108" t="s">
        <v>66</v>
      </c>
      <c r="J1" s="109" t="s">
        <v>67</v>
      </c>
      <c r="K1" s="48" t="s">
        <v>68</v>
      </c>
      <c r="L1" s="50" t="s">
        <v>69</v>
      </c>
      <c r="M1" s="48" t="s">
        <v>70</v>
      </c>
      <c r="N1" s="53" t="s">
        <v>83</v>
      </c>
      <c r="O1" s="57" t="s">
        <v>74</v>
      </c>
      <c r="P1" s="59" t="s">
        <v>75</v>
      </c>
      <c r="Q1" s="59" t="s">
        <v>77</v>
      </c>
      <c r="R1" s="50" t="s">
        <v>45</v>
      </c>
    </row>
    <row r="2">
      <c r="A2" s="2">
        <v>1.0</v>
      </c>
      <c r="B2" s="91">
        <v>45292.0</v>
      </c>
      <c r="C2" s="111">
        <f>60</f>
        <v>60</v>
      </c>
      <c r="D2" s="111">
        <v>0.0</v>
      </c>
      <c r="E2" s="111">
        <f>450</f>
        <v>450</v>
      </c>
      <c r="F2" s="111">
        <v>0.0</v>
      </c>
      <c r="G2" s="111">
        <v>0.0</v>
      </c>
      <c r="H2" s="111">
        <v>0.0</v>
      </c>
      <c r="I2" s="111">
        <f>13.64</f>
        <v>13.64</v>
      </c>
      <c r="J2" s="96">
        <f t="shared" ref="J2:J32" si="2">SUMIF(C2:I2,"&lt;&gt;")</f>
        <v>523.64</v>
      </c>
      <c r="K2" s="112">
        <f>+SUM(C2:C32,D2:D32)/ COUNTIFS(C2:C32, "&lt;&gt;", D2:D32, "&lt;&gt;")</f>
        <v>326.8625806</v>
      </c>
      <c r="L2" s="113" t="str">
        <f>+R2 / COUNTIF(C2:C32, "&lt;&gt;")</f>
        <v>#REF!</v>
      </c>
      <c r="M2" s="114">
        <f t="shared" ref="M2:O2" si="1">+SUM(C2:C31)</f>
        <v>6331.75</v>
      </c>
      <c r="N2" s="114">
        <f t="shared" si="1"/>
        <v>3270.99</v>
      </c>
      <c r="O2" s="113">
        <f t="shared" si="1"/>
        <v>3996.75</v>
      </c>
      <c r="P2" s="113" t="str">
        <f>Sum(H2:H32)</f>
        <v>#REF!</v>
      </c>
      <c r="Q2" s="113">
        <f>+SUM(I2:I31)</f>
        <v>2788.17</v>
      </c>
      <c r="R2" s="115" t="str">
        <f>+SUM(C2:I31)</f>
        <v>#REF!</v>
      </c>
    </row>
    <row r="3">
      <c r="A3" s="2">
        <v>2.0</v>
      </c>
      <c r="B3" s="91">
        <v>45293.0</v>
      </c>
      <c r="C3" s="111">
        <v>0.0</v>
      </c>
      <c r="D3" s="111">
        <f>138</f>
        <v>138</v>
      </c>
      <c r="E3" s="111">
        <v>0.0</v>
      </c>
      <c r="F3" s="111">
        <v>0.0</v>
      </c>
      <c r="G3" s="111">
        <v>0.0</v>
      </c>
      <c r="H3" s="111">
        <v>0.0</v>
      </c>
      <c r="I3" s="111">
        <v>0.0</v>
      </c>
      <c r="J3" s="96">
        <f t="shared" si="2"/>
        <v>138</v>
      </c>
      <c r="R3" s="105"/>
    </row>
    <row r="4">
      <c r="A4" s="2">
        <v>3.0</v>
      </c>
      <c r="B4" s="91">
        <v>45294.0</v>
      </c>
      <c r="C4" s="111">
        <f>104+430</f>
        <v>534</v>
      </c>
      <c r="D4" s="111">
        <v>0.0</v>
      </c>
      <c r="E4" s="111">
        <v>0.0</v>
      </c>
      <c r="F4" s="111">
        <v>0.0</v>
      </c>
      <c r="G4" s="111">
        <v>0.0</v>
      </c>
      <c r="H4" s="111">
        <f>297.91</f>
        <v>297.91</v>
      </c>
      <c r="I4" s="111">
        <v>0.0</v>
      </c>
      <c r="J4" s="96">
        <f t="shared" si="2"/>
        <v>831.91</v>
      </c>
    </row>
    <row r="5">
      <c r="A5" s="2">
        <v>4.0</v>
      </c>
      <c r="B5" s="91">
        <v>45295.0</v>
      </c>
      <c r="C5" s="111">
        <f>168.25</f>
        <v>168.25</v>
      </c>
      <c r="D5" s="111">
        <v>0.0</v>
      </c>
      <c r="E5" s="111">
        <v>0.0</v>
      </c>
      <c r="F5" s="111">
        <v>0.0</v>
      </c>
      <c r="G5" s="111">
        <v>0.0</v>
      </c>
      <c r="H5" s="111">
        <f>216.81+77.49</f>
        <v>294.3</v>
      </c>
      <c r="I5" s="111">
        <v>0.0</v>
      </c>
      <c r="J5" s="96">
        <f t="shared" si="2"/>
        <v>462.55</v>
      </c>
    </row>
    <row r="6">
      <c r="A6" s="2">
        <v>5.0</v>
      </c>
      <c r="B6" s="91">
        <v>45296.0</v>
      </c>
      <c r="C6" s="111">
        <v>0.0</v>
      </c>
      <c r="D6" s="111">
        <v>0.0</v>
      </c>
      <c r="E6" s="111">
        <f>430</f>
        <v>430</v>
      </c>
      <c r="F6" s="111">
        <v>0.0</v>
      </c>
      <c r="G6" s="111">
        <f>241.9</f>
        <v>241.9</v>
      </c>
      <c r="H6" s="111">
        <v>0.0</v>
      </c>
      <c r="I6" s="111">
        <f>39+40.45</f>
        <v>79.45</v>
      </c>
      <c r="J6" s="96">
        <f t="shared" si="2"/>
        <v>751.35</v>
      </c>
    </row>
    <row r="7">
      <c r="A7" s="2">
        <v>6.0</v>
      </c>
      <c r="B7" s="91">
        <v>45297.0</v>
      </c>
      <c r="C7" s="111">
        <v>0.0</v>
      </c>
      <c r="D7" s="111">
        <f>149.99</f>
        <v>149.99</v>
      </c>
      <c r="E7" s="111">
        <f>124.96</f>
        <v>124.96</v>
      </c>
      <c r="F7" s="111">
        <v>0.0</v>
      </c>
      <c r="G7" s="111">
        <v>0.0</v>
      </c>
      <c r="H7" s="111">
        <v>0.0</v>
      </c>
      <c r="I7" s="111">
        <v>0.0</v>
      </c>
      <c r="J7" s="96">
        <f t="shared" si="2"/>
        <v>274.95</v>
      </c>
    </row>
    <row r="8">
      <c r="A8" s="2">
        <v>7.0</v>
      </c>
      <c r="B8" s="91">
        <v>45298.0</v>
      </c>
      <c r="C8" s="111">
        <f>128.55+97+350.22</f>
        <v>575.77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  <c r="I8" s="111">
        <f>250+750+890</f>
        <v>1890</v>
      </c>
      <c r="J8" s="96">
        <f t="shared" si="2"/>
        <v>2465.77</v>
      </c>
    </row>
    <row r="9">
      <c r="A9" s="2">
        <v>8.0</v>
      </c>
      <c r="B9" s="91">
        <v>45299.0</v>
      </c>
      <c r="C9" s="111">
        <f>150.18</f>
        <v>150.18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f>123</f>
        <v>123</v>
      </c>
      <c r="J9" s="96">
        <f t="shared" si="2"/>
        <v>273.18</v>
      </c>
      <c r="L9" s="105"/>
    </row>
    <row r="10">
      <c r="A10" s="2">
        <v>9.0</v>
      </c>
      <c r="B10" s="91">
        <v>45300.0</v>
      </c>
      <c r="C10" s="111">
        <f>78.46+199.14+70.9</f>
        <v>348.5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96">
        <f t="shared" si="2"/>
        <v>348.5</v>
      </c>
    </row>
    <row r="11">
      <c r="A11" s="2">
        <v>10.0</v>
      </c>
      <c r="B11" s="91">
        <v>45301.0</v>
      </c>
      <c r="C11" s="111">
        <f>165.75</f>
        <v>165.75</v>
      </c>
      <c r="D11" s="111">
        <f>170+260</f>
        <v>430</v>
      </c>
      <c r="E11" s="111">
        <f>276.95+152.99</f>
        <v>429.94</v>
      </c>
      <c r="F11" s="111">
        <v>0.0</v>
      </c>
      <c r="G11" s="111">
        <v>0.0</v>
      </c>
      <c r="H11" s="111">
        <v>0.0</v>
      </c>
      <c r="I11" s="111">
        <v>0.0</v>
      </c>
      <c r="J11" s="96">
        <f t="shared" si="2"/>
        <v>1025.69</v>
      </c>
      <c r="L11" s="116" t="s">
        <v>78</v>
      </c>
      <c r="M11" s="117"/>
      <c r="N11" s="118"/>
      <c r="O11" s="119"/>
    </row>
    <row r="12">
      <c r="A12" s="2">
        <v>11.0</v>
      </c>
      <c r="B12" s="91">
        <v>45302.0</v>
      </c>
      <c r="C12" s="111">
        <f>185.19</f>
        <v>185.19</v>
      </c>
      <c r="D12" s="111">
        <f>286</f>
        <v>286</v>
      </c>
      <c r="E12" s="111">
        <f>102.99+170</f>
        <v>272.99</v>
      </c>
      <c r="F12" s="111">
        <v>0.0</v>
      </c>
      <c r="G12" s="111">
        <v>0.0</v>
      </c>
      <c r="H12" s="111">
        <v>0.0</v>
      </c>
      <c r="I12" s="111">
        <v>0.0</v>
      </c>
      <c r="J12" s="96">
        <f t="shared" si="2"/>
        <v>744.18</v>
      </c>
      <c r="L12" s="120" t="s">
        <v>22</v>
      </c>
      <c r="M12" s="121" t="s">
        <v>24</v>
      </c>
      <c r="N12" s="121" t="s">
        <v>79</v>
      </c>
      <c r="O12" s="122"/>
    </row>
    <row r="13">
      <c r="A13" s="2">
        <v>12.0</v>
      </c>
      <c r="B13" s="91">
        <v>45303.0</v>
      </c>
      <c r="C13" s="111">
        <v>0.0</v>
      </c>
      <c r="D13" s="111">
        <f>267+137+200+60</f>
        <v>664</v>
      </c>
      <c r="E13" s="111">
        <f>152.99</f>
        <v>152.99</v>
      </c>
      <c r="F13" s="111">
        <v>0.0</v>
      </c>
      <c r="G13" s="111">
        <v>0.0</v>
      </c>
      <c r="H13" s="111">
        <f>229.98</f>
        <v>229.98</v>
      </c>
      <c r="I13" s="111">
        <f>126.31</f>
        <v>126.31</v>
      </c>
      <c r="J13" s="96">
        <f t="shared" si="2"/>
        <v>1173.28</v>
      </c>
      <c r="L13" s="123" t="str">
        <f>R2</f>
        <v>#REF!</v>
      </c>
      <c r="M13" s="124">
        <v>0.0</v>
      </c>
      <c r="N13" s="124">
        <v>0.0</v>
      </c>
      <c r="O13" s="125"/>
    </row>
    <row r="14">
      <c r="A14" s="2">
        <v>13.0</v>
      </c>
      <c r="B14" s="91">
        <v>45304.0</v>
      </c>
      <c r="C14" s="111">
        <v>0.0</v>
      </c>
      <c r="D14" s="111">
        <f>398</f>
        <v>398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96">
        <f t="shared" si="2"/>
        <v>398</v>
      </c>
      <c r="L14" s="126" t="s">
        <v>81</v>
      </c>
      <c r="M14" s="139" t="str">
        <f>Sum(L13:O13)</f>
        <v>#REF!</v>
      </c>
      <c r="N14" s="118"/>
      <c r="O14" s="119"/>
    </row>
    <row r="15">
      <c r="A15" s="2">
        <v>14.0</v>
      </c>
      <c r="B15" s="91">
        <v>45305.0</v>
      </c>
      <c r="C15" s="111">
        <f>368.05</f>
        <v>368.05</v>
      </c>
      <c r="D15" s="111">
        <v>0.0</v>
      </c>
      <c r="E15" s="111">
        <f>152.99</f>
        <v>152.99</v>
      </c>
      <c r="F15" s="111">
        <v>0.0</v>
      </c>
      <c r="G15" s="111">
        <v>0.0</v>
      </c>
      <c r="H15" s="111">
        <v>0.0</v>
      </c>
      <c r="I15" s="111">
        <v>0.0</v>
      </c>
      <c r="J15" s="96">
        <f t="shared" si="2"/>
        <v>521.04</v>
      </c>
    </row>
    <row r="16">
      <c r="A16" s="2">
        <v>15.0</v>
      </c>
      <c r="B16" s="91">
        <v>45306.0</v>
      </c>
      <c r="C16" s="111">
        <v>0.0</v>
      </c>
      <c r="D16" s="111">
        <f>75+220</f>
        <v>295</v>
      </c>
      <c r="E16" s="111">
        <v>0.0</v>
      </c>
      <c r="F16" s="111">
        <v>0.0</v>
      </c>
      <c r="G16" s="111">
        <v>0.0</v>
      </c>
      <c r="H16" s="111">
        <f>882.24+122.5</f>
        <v>1004.74</v>
      </c>
      <c r="I16" s="111">
        <v>0.0</v>
      </c>
      <c r="J16" s="96">
        <f t="shared" si="2"/>
        <v>1299.74</v>
      </c>
    </row>
    <row r="17">
      <c r="A17" s="2">
        <v>16.0</v>
      </c>
      <c r="B17" s="91">
        <v>45307.0</v>
      </c>
      <c r="C17" s="111">
        <f>124</f>
        <v>124</v>
      </c>
      <c r="D17" s="111">
        <f>190</f>
        <v>190</v>
      </c>
      <c r="E17" s="111">
        <v>0.0</v>
      </c>
      <c r="F17" s="111">
        <v>0.0</v>
      </c>
      <c r="G17" s="111">
        <v>0.0</v>
      </c>
      <c r="H17" s="111">
        <f>301.46</f>
        <v>301.46</v>
      </c>
      <c r="I17" s="111">
        <v>0.0</v>
      </c>
      <c r="J17" s="96">
        <f t="shared" si="2"/>
        <v>615.46</v>
      </c>
    </row>
    <row r="18">
      <c r="A18" s="2">
        <v>17.0</v>
      </c>
      <c r="B18" s="91">
        <v>45308.0</v>
      </c>
      <c r="C18" s="111">
        <f>83.37+50+27.5</f>
        <v>160.87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96">
        <f t="shared" si="2"/>
        <v>160.87</v>
      </c>
    </row>
    <row r="19">
      <c r="A19" s="2">
        <v>18.0</v>
      </c>
      <c r="B19" s="91">
        <v>45309.0</v>
      </c>
      <c r="C19" s="111">
        <f>591.62</f>
        <v>591.62</v>
      </c>
      <c r="D19" s="111">
        <v>0.0</v>
      </c>
      <c r="E19" s="111">
        <f>430+152.99</f>
        <v>582.99</v>
      </c>
      <c r="F19" s="111">
        <v>0.0</v>
      </c>
      <c r="G19" s="111">
        <v>0.0</v>
      </c>
      <c r="H19" s="111">
        <v>0.0</v>
      </c>
      <c r="I19" s="111">
        <v>0.0</v>
      </c>
      <c r="J19" s="96">
        <f t="shared" si="2"/>
        <v>1174.61</v>
      </c>
    </row>
    <row r="20">
      <c r="A20" s="2">
        <v>19.0</v>
      </c>
      <c r="B20" s="91">
        <v>45310.0</v>
      </c>
      <c r="C20" s="111">
        <v>0.0</v>
      </c>
      <c r="D20" s="111">
        <f>299</f>
        <v>299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96">
        <f t="shared" si="2"/>
        <v>299</v>
      </c>
    </row>
    <row r="21">
      <c r="A21" s="2">
        <v>20.0</v>
      </c>
      <c r="B21" s="91">
        <v>45311.0</v>
      </c>
      <c r="C21" s="111">
        <f>30+89.14</f>
        <v>119.14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f>104.9</f>
        <v>104.9</v>
      </c>
      <c r="J21" s="96">
        <f t="shared" si="2"/>
        <v>224.04</v>
      </c>
    </row>
    <row r="22">
      <c r="A22" s="2">
        <v>21.0</v>
      </c>
      <c r="B22" s="91">
        <v>45312.0</v>
      </c>
      <c r="C22" s="111">
        <v>0.0</v>
      </c>
      <c r="D22" s="111">
        <v>0.0</v>
      </c>
      <c r="E22" s="111">
        <f>152.99</f>
        <v>152.99</v>
      </c>
      <c r="F22" s="111">
        <v>0.0</v>
      </c>
      <c r="G22" s="111">
        <v>0.0</v>
      </c>
      <c r="H22" s="111">
        <f>106.25</f>
        <v>106.25</v>
      </c>
      <c r="I22" s="111">
        <v>0.0</v>
      </c>
      <c r="J22" s="96">
        <f t="shared" si="2"/>
        <v>259.24</v>
      </c>
    </row>
    <row r="23">
      <c r="A23" s="2">
        <v>22.0</v>
      </c>
      <c r="B23" s="91">
        <v>45313.0</v>
      </c>
      <c r="C23" s="111">
        <v>0.0</v>
      </c>
      <c r="D23" s="111">
        <f>421</f>
        <v>421</v>
      </c>
      <c r="E23" s="111">
        <v>0.0</v>
      </c>
      <c r="F23" s="111">
        <v>0.0</v>
      </c>
      <c r="G23" s="111">
        <v>0.0</v>
      </c>
      <c r="H23" s="111">
        <f>67.49</f>
        <v>67.49</v>
      </c>
      <c r="I23" s="111">
        <f>28.9</f>
        <v>28.9</v>
      </c>
      <c r="J23" s="96">
        <f t="shared" si="2"/>
        <v>517.39</v>
      </c>
    </row>
    <row r="24">
      <c r="A24" s="2">
        <v>23.0</v>
      </c>
      <c r="B24" s="91">
        <v>45314.0</v>
      </c>
      <c r="C24" s="111">
        <f>129.58</f>
        <v>129.58</v>
      </c>
      <c r="D24" s="111">
        <v>0.0</v>
      </c>
      <c r="E24" s="111">
        <f>17+430+430+150</f>
        <v>1027</v>
      </c>
      <c r="F24" s="111">
        <v>0.0</v>
      </c>
      <c r="G24" s="111">
        <v>0.0</v>
      </c>
      <c r="H24" s="111">
        <f>599.8</f>
        <v>599.8</v>
      </c>
      <c r="I24" s="111">
        <f>20.1</f>
        <v>20.1</v>
      </c>
      <c r="J24" s="96">
        <f t="shared" si="2"/>
        <v>1776.48</v>
      </c>
    </row>
    <row r="25">
      <c r="A25" s="2">
        <v>24.0</v>
      </c>
      <c r="B25" s="91">
        <v>45315.0</v>
      </c>
      <c r="C25" s="111">
        <f>122.15</f>
        <v>122.15</v>
      </c>
      <c r="D25" s="111">
        <v>0.0</v>
      </c>
      <c r="E25" s="111">
        <f>104.95</f>
        <v>104.95</v>
      </c>
      <c r="F25" s="111">
        <v>0.0</v>
      </c>
      <c r="G25" s="111">
        <v>0.0</v>
      </c>
      <c r="H25" s="111">
        <v>0.0</v>
      </c>
      <c r="I25" s="111">
        <v>0.0</v>
      </c>
      <c r="J25" s="96">
        <f t="shared" si="2"/>
        <v>227.1</v>
      </c>
    </row>
    <row r="26">
      <c r="A26" s="2">
        <v>25.0</v>
      </c>
      <c r="B26" s="91">
        <v>45316.0</v>
      </c>
      <c r="C26" s="111">
        <v>0.0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96">
        <f t="shared" si="2"/>
        <v>0</v>
      </c>
    </row>
    <row r="27">
      <c r="A27" s="2">
        <v>26.0</v>
      </c>
      <c r="B27" s="91">
        <v>45317.0</v>
      </c>
      <c r="C27" s="111">
        <f>139.35+256.8+377</f>
        <v>773.15</v>
      </c>
      <c r="D27" s="111">
        <v>0.0</v>
      </c>
      <c r="E27" s="111">
        <v>0.0</v>
      </c>
      <c r="F27" s="111">
        <v>0.0</v>
      </c>
      <c r="G27" s="111">
        <v>0.0</v>
      </c>
      <c r="H27" s="111">
        <v>0.0</v>
      </c>
      <c r="I27" s="111">
        <v>0.0</v>
      </c>
      <c r="J27" s="96">
        <f t="shared" si="2"/>
        <v>773.15</v>
      </c>
    </row>
    <row r="28">
      <c r="A28" s="2">
        <v>27.0</v>
      </c>
      <c r="B28" s="91">
        <v>45318.0</v>
      </c>
      <c r="C28" s="111">
        <f>144.25+190</f>
        <v>334.25</v>
      </c>
      <c r="D28" s="111">
        <v>0.0</v>
      </c>
      <c r="E28" s="111">
        <f>114.95</f>
        <v>114.95</v>
      </c>
      <c r="F28" s="111">
        <v>0.0</v>
      </c>
      <c r="G28" s="111">
        <v>0.0</v>
      </c>
      <c r="H28" s="111">
        <f>100</f>
        <v>100</v>
      </c>
      <c r="I28" s="111">
        <f>401.87</f>
        <v>401.87</v>
      </c>
      <c r="J28" s="96">
        <f t="shared" si="2"/>
        <v>951.07</v>
      </c>
    </row>
    <row r="29">
      <c r="A29" s="2">
        <v>28.0</v>
      </c>
      <c r="B29" s="91">
        <v>45319.0</v>
      </c>
      <c r="C29" s="111">
        <f>235+630</f>
        <v>865</v>
      </c>
      <c r="D29" s="111">
        <v>0.0</v>
      </c>
      <c r="E29" s="111">
        <v>0.0</v>
      </c>
      <c r="F29" s="111">
        <v>0.0</v>
      </c>
      <c r="G29" s="111">
        <v>0.0</v>
      </c>
      <c r="H29" s="111" t="str">
        <f>#REF!</f>
        <v>#REF!</v>
      </c>
      <c r="I29" s="111">
        <v>0.0</v>
      </c>
      <c r="J29" s="96" t="str">
        <f t="shared" si="2"/>
        <v>#REF!</v>
      </c>
    </row>
    <row r="30">
      <c r="A30" s="2">
        <v>29.0</v>
      </c>
      <c r="B30" s="91">
        <v>45320.0</v>
      </c>
      <c r="C30" s="111">
        <f>182.7+110.07</f>
        <v>292.77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  <c r="I30" s="111">
        <v>0.0</v>
      </c>
      <c r="J30" s="96">
        <f t="shared" si="2"/>
        <v>292.77</v>
      </c>
    </row>
    <row r="31">
      <c r="A31" s="2">
        <v>30.0</v>
      </c>
      <c r="B31" s="91">
        <v>45321.0</v>
      </c>
      <c r="C31" s="111">
        <f>263.53</f>
        <v>263.53</v>
      </c>
      <c r="D31" s="111">
        <v>0.0</v>
      </c>
      <c r="E31" s="111">
        <v>0.0</v>
      </c>
      <c r="F31" s="111">
        <v>0.0</v>
      </c>
      <c r="G31" s="111">
        <v>0.0</v>
      </c>
      <c r="H31" s="111">
        <f>725</f>
        <v>725</v>
      </c>
      <c r="I31" s="111">
        <v>0.0</v>
      </c>
      <c r="J31" s="96">
        <f t="shared" si="2"/>
        <v>988.53</v>
      </c>
    </row>
    <row r="32">
      <c r="A32" s="2">
        <v>31.0</v>
      </c>
      <c r="B32" s="91">
        <v>45322.0</v>
      </c>
      <c r="C32" s="111">
        <f>60+180+290</f>
        <v>530</v>
      </c>
      <c r="D32" s="111">
        <v>0.0</v>
      </c>
      <c r="E32" s="111">
        <v>0.0</v>
      </c>
      <c r="F32" s="111">
        <v>0.0</v>
      </c>
      <c r="G32" s="111">
        <v>0.0</v>
      </c>
      <c r="H32" s="111">
        <v>0.0</v>
      </c>
      <c r="I32" s="111">
        <v>0.0</v>
      </c>
      <c r="J32" s="96">
        <f t="shared" si="2"/>
        <v>530</v>
      </c>
    </row>
  </sheetData>
  <mergeCells count="2">
    <mergeCell ref="L11:N11"/>
    <mergeCell ref="M14:N1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.29"/>
  </cols>
  <sheetData>
    <row r="1">
      <c r="C1" s="106" t="s">
        <v>60</v>
      </c>
      <c r="D1" s="107" t="s">
        <v>35</v>
      </c>
      <c r="E1" s="108" t="s">
        <v>61</v>
      </c>
      <c r="F1" s="108" t="s">
        <v>62</v>
      </c>
      <c r="G1" s="108" t="s">
        <v>40</v>
      </c>
      <c r="H1" s="108" t="s">
        <v>66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B2" s="2">
        <v>1.0</v>
      </c>
      <c r="C2" s="91">
        <v>45047.0</v>
      </c>
      <c r="D2" s="111">
        <f>42</f>
        <v>42</v>
      </c>
      <c r="E2" s="111">
        <v>0.0</v>
      </c>
      <c r="F2" s="111">
        <v>0.0</v>
      </c>
      <c r="G2" s="111">
        <v>0.0</v>
      </c>
      <c r="H2" s="111">
        <v>0.0</v>
      </c>
      <c r="I2" s="112">
        <f>+AVERAGE(D2:D31)</f>
        <v>88.318</v>
      </c>
      <c r="J2" s="113">
        <f>+N2/B29</f>
        <v>345.6535714</v>
      </c>
      <c r="K2" s="114">
        <f t="shared" ref="K2:L2" si="1">+SUM(D2:D31)</f>
        <v>2649.54</v>
      </c>
      <c r="L2" s="113">
        <f t="shared" si="1"/>
        <v>100</v>
      </c>
      <c r="M2" s="113">
        <f>+SUM(H2:H31)</f>
        <v>6678.76</v>
      </c>
      <c r="N2" s="115">
        <f>+SUM(D2:H31)</f>
        <v>9678.3</v>
      </c>
    </row>
    <row r="3">
      <c r="B3" s="2">
        <v>2.0</v>
      </c>
      <c r="C3" s="91">
        <v>45048.0</v>
      </c>
      <c r="D3" s="111">
        <f>29.75</f>
        <v>29.75</v>
      </c>
      <c r="E3" s="111">
        <f>50</f>
        <v>50</v>
      </c>
      <c r="F3" s="111">
        <v>0.0</v>
      </c>
      <c r="G3" s="111">
        <v>0.0</v>
      </c>
      <c r="H3" s="111">
        <v>0.0</v>
      </c>
      <c r="N3" s="105"/>
    </row>
    <row r="4">
      <c r="B4" s="2">
        <v>3.0</v>
      </c>
      <c r="C4" s="91">
        <v>45049.0</v>
      </c>
      <c r="D4" s="111">
        <f>100.99</f>
        <v>100.99</v>
      </c>
      <c r="E4" s="111">
        <v>0.0</v>
      </c>
      <c r="F4" s="111">
        <v>0.0</v>
      </c>
      <c r="G4" s="111">
        <v>0.0</v>
      </c>
      <c r="H4" s="111">
        <f>249.9+297.91+7.15+237.27</f>
        <v>792.23</v>
      </c>
    </row>
    <row r="5">
      <c r="B5" s="2">
        <v>4.0</v>
      </c>
      <c r="C5" s="91">
        <v>45050.0</v>
      </c>
      <c r="D5" s="111">
        <f>82.75+30.15</f>
        <v>112.9</v>
      </c>
      <c r="E5" s="111">
        <v>0.0</v>
      </c>
      <c r="F5" s="111">
        <v>0.0</v>
      </c>
      <c r="G5" s="111">
        <v>0.0</v>
      </c>
      <c r="H5" s="111">
        <v>0.0</v>
      </c>
    </row>
    <row r="6">
      <c r="B6" s="2">
        <v>5.0</v>
      </c>
      <c r="C6" s="91">
        <v>45051.0</v>
      </c>
      <c r="D6" s="111">
        <f>97.5+139.8</f>
        <v>237.3</v>
      </c>
      <c r="E6" s="111">
        <v>0.0</v>
      </c>
      <c r="F6" s="111">
        <v>0.0</v>
      </c>
      <c r="G6" s="111">
        <v>0.0</v>
      </c>
      <c r="H6" s="111">
        <f>7.9</f>
        <v>7.9</v>
      </c>
    </row>
    <row r="7">
      <c r="B7" s="2">
        <v>6.0</v>
      </c>
      <c r="C7" s="91">
        <v>45052.0</v>
      </c>
      <c r="D7" s="111">
        <v>0.0</v>
      </c>
      <c r="E7" s="111">
        <v>0.0</v>
      </c>
      <c r="F7" s="111">
        <v>0.0</v>
      </c>
      <c r="G7" s="111">
        <f>132+118</f>
        <v>250</v>
      </c>
      <c r="H7" s="111">
        <f>833.33</f>
        <v>833.33</v>
      </c>
    </row>
    <row r="8">
      <c r="B8" s="2">
        <v>7.0</v>
      </c>
      <c r="C8" s="91">
        <v>45053.0</v>
      </c>
      <c r="D8" s="111">
        <f>144.42</f>
        <v>144.42</v>
      </c>
      <c r="E8" s="111">
        <v>0.0</v>
      </c>
      <c r="F8" s="111">
        <v>0.0</v>
      </c>
      <c r="G8" s="111">
        <v>0.0</v>
      </c>
      <c r="H8" s="111">
        <f>7.8+5.2+52.02+394.45</f>
        <v>459.47</v>
      </c>
    </row>
    <row r="9">
      <c r="B9" s="2">
        <v>8.0</v>
      </c>
      <c r="C9" s="91">
        <v>45054.0</v>
      </c>
      <c r="D9" s="111">
        <f>30</f>
        <v>30</v>
      </c>
      <c r="E9" s="111">
        <v>0.0</v>
      </c>
      <c r="F9" s="111">
        <v>0.0</v>
      </c>
      <c r="G9" s="111">
        <v>0.0</v>
      </c>
      <c r="H9" s="111">
        <f>289.96+10.87+1.09+1.63</f>
        <v>303.55</v>
      </c>
      <c r="J9" s="105"/>
    </row>
    <row r="10">
      <c r="B10" s="2">
        <v>9.0</v>
      </c>
      <c r="C10" s="91">
        <v>45055.0</v>
      </c>
      <c r="D10" s="111">
        <v>0.0</v>
      </c>
      <c r="E10" s="111">
        <f>50</f>
        <v>50</v>
      </c>
      <c r="F10" s="111">
        <v>0.0</v>
      </c>
      <c r="G10" s="111">
        <v>0.0</v>
      </c>
      <c r="H10" s="111">
        <v>0.0</v>
      </c>
    </row>
    <row r="11">
      <c r="B11" s="2">
        <v>10.0</v>
      </c>
      <c r="C11" s="91">
        <v>45056.0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J11" s="140" t="s">
        <v>78</v>
      </c>
      <c r="K11" s="141"/>
      <c r="L11" s="142"/>
    </row>
    <row r="12">
      <c r="B12" s="2">
        <v>11.0</v>
      </c>
      <c r="C12" s="91">
        <v>45057.0</v>
      </c>
      <c r="D12" s="111">
        <f>126.65+69.4</f>
        <v>196.05</v>
      </c>
      <c r="E12" s="111">
        <v>0.0</v>
      </c>
      <c r="F12" s="111">
        <v>0.0</v>
      </c>
      <c r="G12" s="111">
        <v>0.0</v>
      </c>
      <c r="H12" s="111">
        <f>55.5+78+85.91</f>
        <v>219.41</v>
      </c>
      <c r="J12" s="143" t="s">
        <v>22</v>
      </c>
      <c r="K12" s="144" t="s">
        <v>85</v>
      </c>
      <c r="L12" s="145" t="s">
        <v>86</v>
      </c>
    </row>
    <row r="13">
      <c r="B13" s="2">
        <v>12.0</v>
      </c>
      <c r="C13" s="91">
        <v>45058.0</v>
      </c>
      <c r="D13" s="111">
        <f>51.5</f>
        <v>51.5</v>
      </c>
      <c r="E13" s="111">
        <v>0.0</v>
      </c>
      <c r="F13" s="111">
        <v>0.0</v>
      </c>
      <c r="G13" s="111">
        <v>0.0</v>
      </c>
      <c r="H13" s="111">
        <v>0.0</v>
      </c>
      <c r="J13" s="146">
        <f>N2</f>
        <v>9678.3</v>
      </c>
      <c r="K13" s="144"/>
      <c r="L13" s="147">
        <f>337.36</f>
        <v>337.36</v>
      </c>
    </row>
    <row r="14">
      <c r="B14" s="2">
        <v>13.0</v>
      </c>
      <c r="C14" s="91">
        <v>45059.0</v>
      </c>
      <c r="D14" s="111">
        <f>25.81+80.75</f>
        <v>106.56</v>
      </c>
      <c r="E14" s="111">
        <v>0.0</v>
      </c>
      <c r="F14" s="111">
        <v>0.0</v>
      </c>
      <c r="G14" s="111">
        <v>0.0</v>
      </c>
      <c r="H14" s="111">
        <v>0.0</v>
      </c>
      <c r="J14" s="148" t="s">
        <v>81</v>
      </c>
      <c r="K14" s="149">
        <f>SUM(J13:L13)</f>
        <v>10015.66</v>
      </c>
      <c r="L14" s="142"/>
    </row>
    <row r="15">
      <c r="B15" s="2">
        <v>14.0</v>
      </c>
      <c r="C15" s="91">
        <v>45060.0</v>
      </c>
      <c r="D15" s="111">
        <f>19.41</f>
        <v>19.41</v>
      </c>
      <c r="E15" s="111">
        <v>0.0</v>
      </c>
      <c r="F15" s="111">
        <v>0.0</v>
      </c>
      <c r="G15" s="111">
        <v>0.0</v>
      </c>
      <c r="H15" s="111">
        <v>0.0</v>
      </c>
    </row>
    <row r="16">
      <c r="B16" s="2">
        <v>15.0</v>
      </c>
      <c r="C16" s="91">
        <v>45061.0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</row>
    <row r="17">
      <c r="B17" s="2">
        <v>16.0</v>
      </c>
      <c r="C17" s="91">
        <v>45062.0</v>
      </c>
      <c r="D17" s="111">
        <f>94.1+131.11</f>
        <v>225.21</v>
      </c>
      <c r="E17" s="111">
        <v>0.0</v>
      </c>
      <c r="F17" s="111">
        <v>0.0</v>
      </c>
      <c r="G17" s="111">
        <v>0.0</v>
      </c>
      <c r="H17" s="111">
        <f>71.99+76.5</f>
        <v>148.49</v>
      </c>
    </row>
    <row r="18">
      <c r="B18" s="2">
        <v>17.0</v>
      </c>
      <c r="C18" s="91">
        <v>45063.0</v>
      </c>
      <c r="D18" s="111">
        <f>55.32</f>
        <v>55.32</v>
      </c>
      <c r="E18" s="111">
        <v>0.0</v>
      </c>
      <c r="F18" s="111">
        <v>0.0</v>
      </c>
      <c r="G18" s="111">
        <v>0.0</v>
      </c>
      <c r="H18" s="111">
        <v>0.0</v>
      </c>
    </row>
    <row r="19">
      <c r="B19" s="2">
        <v>18.0</v>
      </c>
      <c r="C19" s="91">
        <v>45064.0</v>
      </c>
      <c r="D19" s="111">
        <f>8+150.1</f>
        <v>158.1</v>
      </c>
      <c r="E19" s="111">
        <v>0.0</v>
      </c>
      <c r="F19" s="111">
        <v>0.0</v>
      </c>
      <c r="G19" s="111">
        <v>0.0</v>
      </c>
      <c r="H19" s="111">
        <v>0.0</v>
      </c>
    </row>
    <row r="20">
      <c r="B20" s="2">
        <v>19.0</v>
      </c>
      <c r="C20" s="91">
        <v>45065.0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</row>
    <row r="21">
      <c r="B21" s="2">
        <v>20.0</v>
      </c>
      <c r="C21" s="91">
        <v>45066.0</v>
      </c>
      <c r="D21" s="111">
        <f>20</f>
        <v>20</v>
      </c>
      <c r="E21" s="111">
        <v>0.0</v>
      </c>
      <c r="F21" s="111">
        <v>0.0</v>
      </c>
      <c r="G21" s="111">
        <v>0.0</v>
      </c>
      <c r="H21" s="111">
        <f>450.03+5.54+0.55+0.83+14.9</f>
        <v>471.85</v>
      </c>
    </row>
    <row r="22">
      <c r="B22" s="2">
        <v>21.0</v>
      </c>
      <c r="C22" s="91">
        <v>45067.0</v>
      </c>
      <c r="D22" s="111">
        <f>24+270+45</f>
        <v>339</v>
      </c>
      <c r="E22" s="111">
        <v>0.0</v>
      </c>
      <c r="F22" s="111">
        <v>0.0</v>
      </c>
      <c r="G22" s="111">
        <v>0.0</v>
      </c>
      <c r="H22" s="111">
        <f>87.5</f>
        <v>87.5</v>
      </c>
    </row>
    <row r="23">
      <c r="B23" s="2">
        <v>22.0</v>
      </c>
      <c r="C23" s="91">
        <v>45068.0</v>
      </c>
      <c r="D23" s="111">
        <v>0.0</v>
      </c>
      <c r="E23" s="111">
        <v>0.0</v>
      </c>
      <c r="F23" s="111">
        <v>0.0</v>
      </c>
      <c r="G23" s="111">
        <v>0.0</v>
      </c>
      <c r="H23" s="111">
        <f>84.99</f>
        <v>84.99</v>
      </c>
    </row>
    <row r="24">
      <c r="B24" s="2">
        <v>23.0</v>
      </c>
      <c r="C24" s="91">
        <v>45069.0</v>
      </c>
      <c r="D24" s="111">
        <f>107.52</f>
        <v>107.52</v>
      </c>
      <c r="E24" s="111">
        <v>0.0</v>
      </c>
      <c r="F24" s="111">
        <v>0.0</v>
      </c>
      <c r="G24" s="111">
        <v>0.0</v>
      </c>
      <c r="H24" s="111">
        <v>0.0</v>
      </c>
    </row>
    <row r="25">
      <c r="B25" s="2">
        <v>24.0</v>
      </c>
      <c r="C25" s="91">
        <v>45070.0</v>
      </c>
      <c r="D25" s="111">
        <f>42.9+46.94+64.72</f>
        <v>154.56</v>
      </c>
      <c r="E25" s="111">
        <v>0.0</v>
      </c>
      <c r="F25" s="111">
        <v>0.0</v>
      </c>
      <c r="G25" s="111">
        <v>0.0</v>
      </c>
      <c r="H25" s="111">
        <f>116.7+258.9+184.99</f>
        <v>560.59</v>
      </c>
    </row>
    <row r="26">
      <c r="B26" s="2">
        <v>25.0</v>
      </c>
      <c r="C26" s="91">
        <v>45071.0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</row>
    <row r="27">
      <c r="B27" s="2">
        <v>26.0</v>
      </c>
      <c r="C27" s="91">
        <v>45072.0</v>
      </c>
      <c r="D27" s="111">
        <f>39.22+100.99</f>
        <v>140.21</v>
      </c>
      <c r="E27" s="111">
        <v>0.0</v>
      </c>
      <c r="F27" s="111">
        <v>0.0</v>
      </c>
      <c r="G27" s="111">
        <v>0.0</v>
      </c>
      <c r="H27" s="111">
        <v>0.0</v>
      </c>
    </row>
    <row r="28">
      <c r="B28" s="2">
        <v>27.0</v>
      </c>
      <c r="C28" s="91">
        <v>45073.0</v>
      </c>
      <c r="D28" s="111">
        <f>28</f>
        <v>28</v>
      </c>
      <c r="E28" s="111">
        <v>0.0</v>
      </c>
      <c r="F28" s="111">
        <v>0.0</v>
      </c>
      <c r="G28" s="111">
        <v>0.0</v>
      </c>
      <c r="H28" s="111">
        <v>0.0</v>
      </c>
    </row>
    <row r="29">
      <c r="B29" s="2">
        <v>28.0</v>
      </c>
      <c r="C29" s="91">
        <v>45074.0</v>
      </c>
      <c r="D29" s="111">
        <f>122</f>
        <v>122</v>
      </c>
      <c r="E29" s="111">
        <v>0.0</v>
      </c>
      <c r="F29" s="111">
        <v>0.0</v>
      </c>
      <c r="G29" s="111">
        <v>0.0</v>
      </c>
      <c r="H29" s="111">
        <f>1540.91+115.59+11.56+17.34</f>
        <v>1685.4</v>
      </c>
    </row>
    <row r="30">
      <c r="B30" s="2">
        <v>29.0</v>
      </c>
      <c r="C30" s="91">
        <v>45075.0</v>
      </c>
      <c r="D30" s="111">
        <f>110.99</f>
        <v>110.99</v>
      </c>
      <c r="E30" s="111">
        <v>0.0</v>
      </c>
      <c r="F30" s="111">
        <v>0.0</v>
      </c>
      <c r="G30" s="111">
        <v>0.0</v>
      </c>
      <c r="H30" s="111">
        <f>172.05+152+700</f>
        <v>1024.05</v>
      </c>
    </row>
    <row r="31">
      <c r="B31" s="2">
        <v>30.0</v>
      </c>
      <c r="C31" s="91">
        <v>45076.0</v>
      </c>
      <c r="D31" s="111">
        <f>117.75</f>
        <v>117.75</v>
      </c>
      <c r="E31" s="111">
        <v>0.0</v>
      </c>
      <c r="F31" s="111">
        <v>0.0</v>
      </c>
      <c r="G31" s="111">
        <v>0.0</v>
      </c>
      <c r="H31" s="111">
        <v>0.0</v>
      </c>
    </row>
    <row r="32">
      <c r="B32" s="2">
        <v>31.0</v>
      </c>
      <c r="C32" s="91">
        <v>45077.0</v>
      </c>
      <c r="D32" s="111">
        <f>40.99</f>
        <v>40.99</v>
      </c>
      <c r="E32" s="111">
        <v>0.0</v>
      </c>
      <c r="F32" s="111">
        <v>0.0</v>
      </c>
      <c r="G32" s="111">
        <v>0.0</v>
      </c>
      <c r="H32" s="111">
        <f>119</f>
        <v>119</v>
      </c>
    </row>
  </sheetData>
  <mergeCells count="2">
    <mergeCell ref="J11:L11"/>
    <mergeCell ref="K14:L14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  <col customWidth="1" min="3" max="3" width="11.14"/>
    <col customWidth="1" min="4" max="4" width="10.43"/>
    <col customWidth="1" min="5" max="5" width="10.57"/>
    <col customWidth="1" min="6" max="6" width="10.14"/>
    <col customWidth="1" min="7" max="7" width="11.0"/>
    <col customWidth="1" min="8" max="8" width="13.71"/>
    <col customWidth="1" min="9" max="10" width="12.86"/>
    <col customWidth="1" min="11" max="11" width="13.14"/>
    <col customWidth="1" min="12" max="12" width="8.0"/>
    <col customWidth="1" min="13" max="13" width="8.71"/>
  </cols>
  <sheetData>
    <row r="1">
      <c r="B1" s="106" t="s">
        <v>60</v>
      </c>
      <c r="C1" s="107" t="s">
        <v>35</v>
      </c>
      <c r="D1" s="108" t="s">
        <v>61</v>
      </c>
      <c r="E1" s="108" t="s">
        <v>62</v>
      </c>
      <c r="F1" s="108" t="s">
        <v>40</v>
      </c>
      <c r="G1" s="108" t="s">
        <v>66</v>
      </c>
      <c r="H1" s="110" t="s">
        <v>68</v>
      </c>
      <c r="I1" s="50" t="s">
        <v>69</v>
      </c>
      <c r="J1" s="110" t="s">
        <v>71</v>
      </c>
      <c r="K1" s="57" t="s">
        <v>74</v>
      </c>
      <c r="L1" s="57" t="s">
        <v>66</v>
      </c>
      <c r="M1" s="50" t="s">
        <v>45</v>
      </c>
    </row>
    <row r="2">
      <c r="A2" s="2">
        <v>1.0</v>
      </c>
      <c r="B2" s="91">
        <v>45078.0</v>
      </c>
      <c r="C2" s="111">
        <f>160.65+105.33</f>
        <v>265.98</v>
      </c>
      <c r="D2" s="111">
        <v>0.0</v>
      </c>
      <c r="E2" s="111">
        <v>0.0</v>
      </c>
      <c r="F2" s="111">
        <v>0.0</v>
      </c>
      <c r="G2" s="111">
        <v>0.0</v>
      </c>
      <c r="H2" s="112">
        <f>+AVERAGE(C2:C31)</f>
        <v>254.5026667</v>
      </c>
      <c r="I2" s="113">
        <f>+M2/A29</f>
        <v>526.1503571</v>
      </c>
      <c r="J2" s="114">
        <f t="shared" ref="J2:K2" si="1">+SUM(C2:C31)</f>
        <v>7635.08</v>
      </c>
      <c r="K2" s="113">
        <f t="shared" si="1"/>
        <v>254.98</v>
      </c>
      <c r="L2" s="113">
        <f>+SUM(G2:G31)</f>
        <v>6592.25</v>
      </c>
      <c r="M2" s="115">
        <f>+SUM(C2:G31)</f>
        <v>14732.21</v>
      </c>
    </row>
    <row r="3">
      <c r="A3" s="2">
        <v>2.0</v>
      </c>
      <c r="B3" s="91">
        <v>45079.0</v>
      </c>
      <c r="C3" s="111">
        <f>234.4</f>
        <v>234.4</v>
      </c>
      <c r="D3" s="111">
        <v>0.0</v>
      </c>
      <c r="E3" s="111">
        <v>0.0</v>
      </c>
      <c r="F3" s="111">
        <v>0.0</v>
      </c>
      <c r="G3" s="111">
        <v>0.0</v>
      </c>
      <c r="M3" s="105"/>
    </row>
    <row r="4">
      <c r="A4" s="2">
        <v>3.0</v>
      </c>
      <c r="B4" s="91">
        <v>45080.0</v>
      </c>
      <c r="C4" s="111">
        <f>162</f>
        <v>162</v>
      </c>
      <c r="D4" s="111">
        <v>0.0</v>
      </c>
      <c r="E4" s="111">
        <v>0.0</v>
      </c>
      <c r="F4" s="111">
        <v>0.0</v>
      </c>
      <c r="G4" s="111">
        <f>80+237.26+297.91</f>
        <v>615.17</v>
      </c>
    </row>
    <row r="5">
      <c r="A5" s="2">
        <v>4.0</v>
      </c>
      <c r="B5" s="91">
        <v>45081.0</v>
      </c>
      <c r="C5" s="111">
        <v>0.0</v>
      </c>
      <c r="D5" s="111">
        <v>0.0</v>
      </c>
      <c r="E5" s="111">
        <v>0.0</v>
      </c>
      <c r="F5" s="111">
        <v>0.0</v>
      </c>
      <c r="G5" s="111">
        <f>39+169</f>
        <v>208</v>
      </c>
    </row>
    <row r="6">
      <c r="A6" s="2">
        <v>5.0</v>
      </c>
      <c r="B6" s="91">
        <v>45082.0</v>
      </c>
      <c r="C6" s="111">
        <f>81+40</f>
        <v>121</v>
      </c>
      <c r="D6" s="111">
        <f>50</f>
        <v>50</v>
      </c>
      <c r="E6" s="111">
        <v>0.0</v>
      </c>
      <c r="F6" s="111">
        <v>0.0</v>
      </c>
      <c r="G6" s="111">
        <v>0.0</v>
      </c>
    </row>
    <row r="7">
      <c r="A7" s="2">
        <v>6.0</v>
      </c>
      <c r="B7" s="91">
        <v>45083.0</v>
      </c>
      <c r="C7" s="111">
        <f>70+80+104</f>
        <v>254</v>
      </c>
      <c r="D7" s="111">
        <v>0.0</v>
      </c>
      <c r="E7" s="111">
        <v>0.0</v>
      </c>
      <c r="F7" s="111">
        <v>0.0</v>
      </c>
      <c r="G7" s="111">
        <f>49.99+833.33</f>
        <v>883.32</v>
      </c>
    </row>
    <row r="8">
      <c r="A8" s="2">
        <v>7.0</v>
      </c>
      <c r="B8" s="91">
        <v>45084.0</v>
      </c>
      <c r="C8" s="111">
        <f>120+799</f>
        <v>919</v>
      </c>
      <c r="D8" s="111">
        <v>0.0</v>
      </c>
      <c r="E8" s="111">
        <v>0.0</v>
      </c>
      <c r="F8" s="111">
        <f>118+131.9</f>
        <v>249.9</v>
      </c>
      <c r="G8" s="111">
        <f>4.72+47.16+400.52+7.07</f>
        <v>459.47</v>
      </c>
    </row>
    <row r="9">
      <c r="A9" s="2">
        <v>8.0</v>
      </c>
      <c r="B9" s="91">
        <v>45085.0</v>
      </c>
      <c r="C9" s="111">
        <f>127.23+109.65+137.87</f>
        <v>374.75</v>
      </c>
      <c r="D9" s="111">
        <v>0.0</v>
      </c>
      <c r="E9" s="111">
        <v>0.0</v>
      </c>
      <c r="F9" s="111">
        <v>0.0</v>
      </c>
      <c r="G9" s="111">
        <f>1.09+0.73+7.3+294.43</f>
        <v>303.55</v>
      </c>
      <c r="I9" s="105"/>
    </row>
    <row r="10">
      <c r="A10" s="2">
        <v>9.0</v>
      </c>
      <c r="B10" s="91">
        <v>45086.0</v>
      </c>
      <c r="C10" s="111">
        <f>135+599</f>
        <v>734</v>
      </c>
      <c r="D10" s="111">
        <v>0.0</v>
      </c>
      <c r="E10" s="111">
        <v>0.0</v>
      </c>
      <c r="F10" s="111">
        <v>0.0</v>
      </c>
      <c r="G10" s="111">
        <v>0.0</v>
      </c>
    </row>
    <row r="11">
      <c r="A11" s="2">
        <v>10.0</v>
      </c>
      <c r="B11" s="91">
        <v>45087.0</v>
      </c>
      <c r="C11" s="111">
        <v>0.0</v>
      </c>
      <c r="D11" s="111">
        <v>0.0</v>
      </c>
      <c r="E11" s="111">
        <v>0.0</v>
      </c>
      <c r="F11" s="111">
        <v>0.0</v>
      </c>
      <c r="G11" s="111">
        <f>51</f>
        <v>51</v>
      </c>
      <c r="I11" s="140" t="s">
        <v>78</v>
      </c>
      <c r="J11" s="141"/>
      <c r="K11" s="142"/>
    </row>
    <row r="12">
      <c r="A12" s="2">
        <v>11.0</v>
      </c>
      <c r="B12" s="91">
        <v>45088.0</v>
      </c>
      <c r="C12" s="111">
        <v>0.0</v>
      </c>
      <c r="D12" s="111">
        <v>0.0</v>
      </c>
      <c r="E12" s="111">
        <v>0.0</v>
      </c>
      <c r="F12" s="111">
        <v>0.0</v>
      </c>
      <c r="G12" s="111">
        <v>0.0</v>
      </c>
      <c r="I12" s="143" t="s">
        <v>22</v>
      </c>
      <c r="J12" s="144" t="s">
        <v>85</v>
      </c>
      <c r="K12" s="145" t="s">
        <v>86</v>
      </c>
    </row>
    <row r="13">
      <c r="A13" s="2">
        <v>12.0</v>
      </c>
      <c r="B13" s="91">
        <v>45089.0</v>
      </c>
      <c r="C13" s="111">
        <f>122</f>
        <v>122</v>
      </c>
      <c r="D13" s="111">
        <v>0.0</v>
      </c>
      <c r="E13" s="111">
        <v>0.0</v>
      </c>
      <c r="F13" s="111">
        <v>0.0</v>
      </c>
      <c r="G13" s="111">
        <f>97.45+22</f>
        <v>119.45</v>
      </c>
      <c r="I13" s="146">
        <f>M2</f>
        <v>14732.21</v>
      </c>
      <c r="J13" s="150">
        <v>0.0</v>
      </c>
      <c r="K13" s="147">
        <f>0</f>
        <v>0</v>
      </c>
    </row>
    <row r="14">
      <c r="A14" s="2">
        <v>13.0</v>
      </c>
      <c r="B14" s="91">
        <v>45090.0</v>
      </c>
      <c r="C14" s="111">
        <f>24.25+200</f>
        <v>224.25</v>
      </c>
      <c r="D14" s="111">
        <v>0.0</v>
      </c>
      <c r="E14" s="111">
        <v>0.0</v>
      </c>
      <c r="F14" s="111">
        <v>0.0</v>
      </c>
      <c r="G14" s="111">
        <v>0.0</v>
      </c>
      <c r="I14" s="148" t="s">
        <v>81</v>
      </c>
      <c r="J14" s="149">
        <f>SUM(I13:K13)</f>
        <v>14732.21</v>
      </c>
      <c r="K14" s="142"/>
    </row>
    <row r="15">
      <c r="A15" s="2">
        <v>14.0</v>
      </c>
      <c r="B15" s="91">
        <v>45091.0</v>
      </c>
      <c r="C15" s="111">
        <v>0.0</v>
      </c>
      <c r="D15" s="111">
        <v>0.0</v>
      </c>
      <c r="E15" s="111">
        <v>0.0</v>
      </c>
      <c r="F15" s="111">
        <v>0.0</v>
      </c>
      <c r="G15" s="111">
        <f>700+111</f>
        <v>811</v>
      </c>
    </row>
    <row r="16">
      <c r="A16" s="2">
        <v>15.0</v>
      </c>
      <c r="B16" s="91">
        <v>45092.0</v>
      </c>
      <c r="C16" s="111">
        <f>32.76+150+23.9</f>
        <v>206.66</v>
      </c>
      <c r="D16" s="111">
        <v>0.0</v>
      </c>
      <c r="E16" s="111">
        <v>0.0</v>
      </c>
      <c r="F16" s="111">
        <v>0.0</v>
      </c>
      <c r="G16" s="111">
        <f>63.88</f>
        <v>63.88</v>
      </c>
    </row>
    <row r="17">
      <c r="A17" s="2">
        <v>16.0</v>
      </c>
      <c r="B17" s="91">
        <v>45093.0</v>
      </c>
      <c r="C17" s="111">
        <f>36.5+44.4</f>
        <v>80.9</v>
      </c>
      <c r="D17" s="111">
        <v>0.0</v>
      </c>
      <c r="E17" s="111">
        <v>0.0</v>
      </c>
      <c r="F17" s="111">
        <v>0.0</v>
      </c>
      <c r="G17" s="111">
        <f>76.5+71.99</f>
        <v>148.49</v>
      </c>
    </row>
    <row r="18">
      <c r="A18" s="2">
        <v>17.0</v>
      </c>
      <c r="B18" s="91">
        <v>45094.0</v>
      </c>
      <c r="C18" s="111">
        <f>138+130.46</f>
        <v>268.46</v>
      </c>
      <c r="D18" s="111">
        <v>0.0</v>
      </c>
      <c r="E18" s="111">
        <v>0.0</v>
      </c>
      <c r="F18" s="111">
        <v>0.0</v>
      </c>
      <c r="G18" s="111">
        <v>0.0</v>
      </c>
    </row>
    <row r="19">
      <c r="A19" s="2">
        <v>18.0</v>
      </c>
      <c r="B19" s="91">
        <v>45095.0</v>
      </c>
      <c r="C19" s="111">
        <f>340+53+190+355+317+10+36.5</f>
        <v>1301.5</v>
      </c>
      <c r="D19" s="111">
        <f>50+102.99</f>
        <v>152.99</v>
      </c>
      <c r="E19" s="111">
        <v>0.0</v>
      </c>
      <c r="F19" s="111">
        <v>0.0</v>
      </c>
      <c r="G19" s="111">
        <v>0.0</v>
      </c>
    </row>
    <row r="20">
      <c r="A20" s="2">
        <v>19.0</v>
      </c>
      <c r="B20" s="91">
        <v>45096.0</v>
      </c>
      <c r="C20" s="111">
        <f>10+290+163</f>
        <v>463</v>
      </c>
      <c r="D20" s="111">
        <f>51.99</f>
        <v>51.99</v>
      </c>
      <c r="E20" s="111">
        <v>0.0</v>
      </c>
      <c r="F20" s="111">
        <v>0.0</v>
      </c>
      <c r="G20" s="111">
        <f>14.9</f>
        <v>14.9</v>
      </c>
    </row>
    <row r="21">
      <c r="A21" s="2">
        <v>20.0</v>
      </c>
      <c r="B21" s="91">
        <v>45097.0</v>
      </c>
      <c r="C21" s="111">
        <f>146</f>
        <v>146</v>
      </c>
      <c r="D21" s="111">
        <v>0.0</v>
      </c>
      <c r="E21" s="111">
        <v>0.0</v>
      </c>
      <c r="F21" s="111">
        <v>0.0</v>
      </c>
      <c r="G21" s="111">
        <f>111</f>
        <v>111</v>
      </c>
    </row>
    <row r="22">
      <c r="A22" s="2">
        <v>21.0</v>
      </c>
      <c r="B22" s="91">
        <v>45098.0</v>
      </c>
      <c r="C22" s="111">
        <f>105</f>
        <v>105</v>
      </c>
      <c r="D22" s="111">
        <v>0.0</v>
      </c>
      <c r="E22" s="111">
        <v>0.0</v>
      </c>
      <c r="F22" s="111">
        <v>0.0</v>
      </c>
      <c r="G22" s="111">
        <f>87.5</f>
        <v>87.5</v>
      </c>
    </row>
    <row r="23">
      <c r="A23" s="2">
        <v>22.0</v>
      </c>
      <c r="B23" s="91">
        <v>45099.0</v>
      </c>
      <c r="C23" s="111">
        <f>62.07+8.35</f>
        <v>70.42</v>
      </c>
      <c r="D23" s="111">
        <v>0.0</v>
      </c>
      <c r="E23" s="111">
        <v>0.0</v>
      </c>
      <c r="F23" s="111">
        <v>0.0</v>
      </c>
      <c r="G23" s="111">
        <v>0.0</v>
      </c>
    </row>
    <row r="24">
      <c r="A24" s="2">
        <v>23.0</v>
      </c>
      <c r="B24" s="91">
        <v>45100.0</v>
      </c>
      <c r="C24" s="111">
        <f>47.89+251.37+124</f>
        <v>423.26</v>
      </c>
      <c r="D24" s="111">
        <v>0.0</v>
      </c>
      <c r="E24" s="111">
        <v>0.0</v>
      </c>
      <c r="F24" s="111">
        <v>0.0</v>
      </c>
      <c r="G24" s="111">
        <v>0.0</v>
      </c>
    </row>
    <row r="25">
      <c r="A25" s="2">
        <v>24.0</v>
      </c>
      <c r="B25" s="91">
        <v>45101.0</v>
      </c>
      <c r="C25" s="111">
        <f>56</f>
        <v>56</v>
      </c>
      <c r="D25" s="111">
        <v>0.0</v>
      </c>
      <c r="E25" s="111">
        <v>0.0</v>
      </c>
      <c r="F25" s="111">
        <v>0.0</v>
      </c>
      <c r="G25" s="111">
        <v>0.0</v>
      </c>
    </row>
    <row r="26">
      <c r="A26" s="2">
        <v>25.0</v>
      </c>
      <c r="B26" s="91">
        <v>45102.0</v>
      </c>
      <c r="C26" s="111">
        <f>47.23+71.96</f>
        <v>119.19</v>
      </c>
      <c r="D26" s="111">
        <v>0.0</v>
      </c>
      <c r="E26" s="111">
        <v>0.0</v>
      </c>
      <c r="F26" s="111">
        <v>0.0</v>
      </c>
      <c r="G26" s="111">
        <v>0.0</v>
      </c>
    </row>
    <row r="27">
      <c r="A27" s="2">
        <v>26.0</v>
      </c>
      <c r="B27" s="91">
        <v>45103.0</v>
      </c>
      <c r="C27" s="111">
        <f>493.06+56</f>
        <v>549.06</v>
      </c>
      <c r="D27" s="111">
        <v>0.0</v>
      </c>
      <c r="E27" s="111">
        <v>0.0</v>
      </c>
      <c r="F27" s="111">
        <v>0.0</v>
      </c>
      <c r="G27" s="111">
        <v>0.0</v>
      </c>
    </row>
    <row r="28">
      <c r="A28" s="2">
        <v>27.0</v>
      </c>
      <c r="B28" s="91">
        <v>45104.0</v>
      </c>
      <c r="C28" s="111">
        <v>0.0</v>
      </c>
      <c r="D28" s="111">
        <v>0.0</v>
      </c>
      <c r="E28" s="111">
        <v>0.0</v>
      </c>
      <c r="F28" s="111">
        <v>0.0</v>
      </c>
      <c r="G28" s="111">
        <v>0.0</v>
      </c>
    </row>
    <row r="29">
      <c r="A29" s="2">
        <v>28.0</v>
      </c>
      <c r="B29" s="91">
        <v>45105.0</v>
      </c>
      <c r="C29" s="111">
        <f>141.5</f>
        <v>141.5</v>
      </c>
      <c r="D29" s="111">
        <v>0.0</v>
      </c>
      <c r="E29" s="111">
        <v>0.0</v>
      </c>
      <c r="F29" s="111">
        <v>0.0</v>
      </c>
      <c r="G29" s="111">
        <f>165+1850.52</f>
        <v>2015.52</v>
      </c>
    </row>
    <row r="30">
      <c r="A30" s="2">
        <v>29.0</v>
      </c>
      <c r="B30" s="91">
        <v>45106.0</v>
      </c>
      <c r="C30" s="111">
        <v>0.0</v>
      </c>
      <c r="D30" s="111">
        <v>0.0</v>
      </c>
      <c r="E30" s="111">
        <v>0.0</v>
      </c>
      <c r="F30" s="111">
        <v>0.0</v>
      </c>
      <c r="G30" s="111">
        <f>700</f>
        <v>700</v>
      </c>
    </row>
    <row r="31">
      <c r="A31" s="2">
        <v>30.0</v>
      </c>
      <c r="B31" s="91">
        <v>45107.0</v>
      </c>
      <c r="C31" s="111">
        <f>250+24+18.75</f>
        <v>292.75</v>
      </c>
      <c r="D31" s="111">
        <v>0.0</v>
      </c>
      <c r="E31" s="111">
        <v>0.0</v>
      </c>
      <c r="F31" s="111">
        <v>0.0</v>
      </c>
      <c r="G31" s="111">
        <v>0.0</v>
      </c>
    </row>
  </sheetData>
  <mergeCells count="2">
    <mergeCell ref="I11:K11"/>
    <mergeCell ref="J14:K14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  <col customWidth="1" min="3" max="7" width="9.43"/>
    <col customWidth="1" min="9" max="9" width="9.43"/>
    <col customWidth="1" min="10" max="10" width="10.14"/>
    <col customWidth="1" min="11" max="11" width="11.0"/>
    <col customWidth="1" min="12" max="12" width="8.0"/>
    <col customWidth="1" min="13" max="13" width="8.14"/>
  </cols>
  <sheetData>
    <row r="1">
      <c r="B1" s="106" t="s">
        <v>60</v>
      </c>
      <c r="C1" s="107" t="s">
        <v>35</v>
      </c>
      <c r="D1" s="108" t="s">
        <v>61</v>
      </c>
      <c r="E1" s="108" t="s">
        <v>62</v>
      </c>
      <c r="F1" s="108" t="s">
        <v>40</v>
      </c>
      <c r="G1" s="108" t="s">
        <v>66</v>
      </c>
      <c r="H1" s="110" t="s">
        <v>68</v>
      </c>
      <c r="I1" s="50" t="s">
        <v>69</v>
      </c>
      <c r="J1" s="110" t="s">
        <v>71</v>
      </c>
      <c r="K1" s="57" t="s">
        <v>74</v>
      </c>
      <c r="L1" s="57" t="s">
        <v>66</v>
      </c>
      <c r="M1" s="50" t="s">
        <v>45</v>
      </c>
    </row>
    <row r="2">
      <c r="A2" s="2">
        <v>1.0</v>
      </c>
      <c r="B2" s="91">
        <v>45108.0</v>
      </c>
      <c r="C2" s="111">
        <f>446</f>
        <v>446</v>
      </c>
      <c r="D2" s="111">
        <f>229.5</f>
        <v>229.5</v>
      </c>
      <c r="E2" s="111">
        <v>0.0</v>
      </c>
      <c r="F2" s="111">
        <v>0.0</v>
      </c>
      <c r="G2" s="111">
        <v>0.0</v>
      </c>
      <c r="H2" s="112">
        <f>+AVERAGE(C2:C31)</f>
        <v>257.138</v>
      </c>
      <c r="I2" s="113" t="str">
        <f>+M2/A29</f>
        <v>#REF!</v>
      </c>
      <c r="J2" s="114">
        <f t="shared" ref="J2:K2" si="1">+SUM(C2:C31)</f>
        <v>7714.14</v>
      </c>
      <c r="K2" s="113">
        <f t="shared" si="1"/>
        <v>1157.92</v>
      </c>
      <c r="L2" s="113" t="str">
        <f>+SUM(G2:G31)</f>
        <v>#REF!</v>
      </c>
      <c r="M2" s="115" t="str">
        <f>+SUM(C2:G31)</f>
        <v>#REF!</v>
      </c>
    </row>
    <row r="3">
      <c r="A3" s="2">
        <v>2.0</v>
      </c>
      <c r="B3" s="91">
        <v>45109.0</v>
      </c>
      <c r="C3" s="111">
        <f>43.54</f>
        <v>43.54</v>
      </c>
      <c r="D3" s="111">
        <v>0.0</v>
      </c>
      <c r="E3" s="111">
        <v>0.0</v>
      </c>
      <c r="F3" s="111">
        <v>0.0</v>
      </c>
      <c r="G3" s="111">
        <v>0.0</v>
      </c>
      <c r="M3" s="105"/>
    </row>
    <row r="4">
      <c r="A4" s="2">
        <v>3.0</v>
      </c>
      <c r="B4" s="91">
        <v>45110.0</v>
      </c>
      <c r="C4" s="111">
        <f>51+237.26</f>
        <v>288.26</v>
      </c>
      <c r="D4" s="111">
        <v>0.0</v>
      </c>
      <c r="E4" s="111">
        <v>0.0</v>
      </c>
      <c r="F4" s="111">
        <v>0.0</v>
      </c>
      <c r="G4" s="111">
        <f>297.91+6.88</f>
        <v>304.79</v>
      </c>
    </row>
    <row r="5">
      <c r="A5" s="2">
        <v>4.0</v>
      </c>
      <c r="B5" s="91">
        <v>45111.0</v>
      </c>
      <c r="C5" s="111">
        <f>62.76+304.6</f>
        <v>367.36</v>
      </c>
      <c r="D5" s="111">
        <v>0.0</v>
      </c>
      <c r="E5" s="111">
        <v>0.0</v>
      </c>
      <c r="F5" s="111">
        <v>0.0</v>
      </c>
      <c r="G5" s="111">
        <f>80.79</f>
        <v>80.79</v>
      </c>
    </row>
    <row r="6">
      <c r="A6" s="2">
        <v>5.0</v>
      </c>
      <c r="B6" s="91">
        <v>45112.0</v>
      </c>
      <c r="C6" s="111">
        <f>79.86</f>
        <v>79.86</v>
      </c>
      <c r="D6" s="111">
        <v>0.0</v>
      </c>
      <c r="E6" s="111">
        <v>0.0</v>
      </c>
      <c r="F6" s="111">
        <f>117.75+132</f>
        <v>249.75</v>
      </c>
      <c r="G6" s="111">
        <f>39</f>
        <v>39</v>
      </c>
    </row>
    <row r="7">
      <c r="A7" s="2">
        <v>6.0</v>
      </c>
      <c r="B7" s="91">
        <v>45113.0</v>
      </c>
      <c r="C7" s="111">
        <f>63.25+120</f>
        <v>183.25</v>
      </c>
      <c r="D7" s="111">
        <v>0.0</v>
      </c>
      <c r="E7" s="111">
        <v>0.0</v>
      </c>
      <c r="F7" s="111">
        <v>0.0</v>
      </c>
      <c r="G7" s="111">
        <f>240+833.33</f>
        <v>1073.33</v>
      </c>
    </row>
    <row r="8">
      <c r="A8" s="2">
        <v>7.0</v>
      </c>
      <c r="B8" s="91">
        <v>45114.0</v>
      </c>
      <c r="C8" s="111">
        <f>95</f>
        <v>95</v>
      </c>
      <c r="D8" s="111">
        <v>0.0</v>
      </c>
      <c r="E8" s="111">
        <v>0.0</v>
      </c>
      <c r="F8" s="111">
        <v>0.0</v>
      </c>
      <c r="G8" s="111">
        <f>459.47</f>
        <v>459.47</v>
      </c>
    </row>
    <row r="9">
      <c r="A9" s="2">
        <v>8.0</v>
      </c>
      <c r="B9" s="91">
        <v>45115.0</v>
      </c>
      <c r="C9" s="111">
        <f>120+190+205</f>
        <v>515</v>
      </c>
      <c r="D9" s="111">
        <f>102.99</f>
        <v>102.99</v>
      </c>
      <c r="E9" s="111">
        <v>0.0</v>
      </c>
      <c r="F9" s="111">
        <v>0.0</v>
      </c>
      <c r="G9" s="111">
        <f>303.55</f>
        <v>303.55</v>
      </c>
      <c r="I9" s="105"/>
    </row>
    <row r="10">
      <c r="A10" s="2">
        <v>9.0</v>
      </c>
      <c r="B10" s="91">
        <v>45116.0</v>
      </c>
      <c r="C10" s="111">
        <f>569+165</f>
        <v>734</v>
      </c>
      <c r="D10" s="111">
        <v>0.0</v>
      </c>
      <c r="E10" s="111">
        <v>0.0</v>
      </c>
      <c r="F10" s="111">
        <v>0.0</v>
      </c>
      <c r="G10" s="111">
        <v>0.0</v>
      </c>
    </row>
    <row r="11">
      <c r="A11" s="2">
        <v>10.0</v>
      </c>
      <c r="B11" s="91">
        <v>45117.0</v>
      </c>
      <c r="C11" s="111">
        <f>73.55+128.46+19.21+100</f>
        <v>321.22</v>
      </c>
      <c r="D11" s="111">
        <v>0.0</v>
      </c>
      <c r="E11" s="111">
        <v>0.0</v>
      </c>
      <c r="F11" s="111">
        <v>0.0</v>
      </c>
      <c r="G11" s="111">
        <v>0.0</v>
      </c>
      <c r="I11" s="140" t="s">
        <v>78</v>
      </c>
      <c r="J11" s="141"/>
      <c r="K11" s="142"/>
    </row>
    <row r="12">
      <c r="A12" s="2">
        <v>11.0</v>
      </c>
      <c r="B12" s="91">
        <v>45118.0</v>
      </c>
      <c r="C12" s="111">
        <f>57.34+8.5</f>
        <v>65.84</v>
      </c>
      <c r="D12" s="111">
        <v>0.0</v>
      </c>
      <c r="E12" s="111">
        <v>0.0</v>
      </c>
      <c r="F12" s="111">
        <v>0.0</v>
      </c>
      <c r="G12" s="111">
        <v>0.0</v>
      </c>
      <c r="I12" s="143" t="s">
        <v>22</v>
      </c>
      <c r="J12" s="144" t="s">
        <v>85</v>
      </c>
      <c r="K12" s="145" t="s">
        <v>86</v>
      </c>
    </row>
    <row r="13">
      <c r="A13" s="2">
        <v>12.0</v>
      </c>
      <c r="B13" s="91">
        <v>45119.0</v>
      </c>
      <c r="C13" s="111">
        <f>55</f>
        <v>55</v>
      </c>
      <c r="D13" s="111">
        <v>0.0</v>
      </c>
      <c r="E13" s="111">
        <v>0.0</v>
      </c>
      <c r="F13" s="111">
        <v>0.0</v>
      </c>
      <c r="G13" s="111">
        <f>22</f>
        <v>22</v>
      </c>
      <c r="I13" s="146" t="str">
        <f>M2</f>
        <v>#REF!</v>
      </c>
      <c r="J13" s="150">
        <v>0.0</v>
      </c>
      <c r="K13" s="147">
        <f>0</f>
        <v>0</v>
      </c>
    </row>
    <row r="14">
      <c r="A14" s="2">
        <v>13.0</v>
      </c>
      <c r="B14" s="91">
        <v>45120.0</v>
      </c>
      <c r="C14" s="111">
        <f>35.8+48+36.14</f>
        <v>119.94</v>
      </c>
      <c r="D14" s="111">
        <v>0.0</v>
      </c>
      <c r="E14" s="111">
        <v>0.0</v>
      </c>
      <c r="F14" s="111">
        <v>0.0</v>
      </c>
      <c r="G14" s="111">
        <f>203.55</f>
        <v>203.55</v>
      </c>
      <c r="I14" s="148" t="s">
        <v>81</v>
      </c>
      <c r="J14" s="151" t="str">
        <f>SUM(I13:K13)</f>
        <v>#REF!</v>
      </c>
      <c r="K14" s="142"/>
    </row>
    <row r="15">
      <c r="A15" s="2">
        <v>14.0</v>
      </c>
      <c r="B15" s="91">
        <v>45121.0</v>
      </c>
      <c r="C15" s="111">
        <f>17</f>
        <v>17</v>
      </c>
      <c r="D15" s="111">
        <v>0.0</v>
      </c>
      <c r="E15" s="111">
        <v>0.0</v>
      </c>
      <c r="F15" s="111">
        <v>0.0</v>
      </c>
      <c r="G15" s="111">
        <f>700</f>
        <v>700</v>
      </c>
    </row>
    <row r="16">
      <c r="A16" s="2">
        <v>15.0</v>
      </c>
      <c r="B16" s="91">
        <v>45122.0</v>
      </c>
      <c r="C16" s="111">
        <f>138+85+320</f>
        <v>543</v>
      </c>
      <c r="D16" s="111">
        <v>0.0</v>
      </c>
      <c r="E16" s="111">
        <v>0.0</v>
      </c>
      <c r="F16" s="111">
        <v>0.0</v>
      </c>
      <c r="G16" s="111">
        <f>63.86</f>
        <v>63.86</v>
      </c>
    </row>
    <row r="17">
      <c r="A17" s="2">
        <v>16.0</v>
      </c>
      <c r="B17" s="91">
        <v>45123.0</v>
      </c>
      <c r="C17" s="111">
        <f>111+115+50</f>
        <v>276</v>
      </c>
      <c r="D17" s="111">
        <v>0.0</v>
      </c>
      <c r="E17" s="111">
        <v>0.0</v>
      </c>
      <c r="F17" s="111">
        <v>0.0</v>
      </c>
      <c r="G17" s="111">
        <f>85</f>
        <v>85</v>
      </c>
    </row>
    <row r="18">
      <c r="A18" s="2">
        <v>17.0</v>
      </c>
      <c r="B18" s="91">
        <v>45124.0</v>
      </c>
      <c r="C18" s="111">
        <f>140.62+160+18+50</f>
        <v>368.62</v>
      </c>
      <c r="D18" s="111">
        <v>0.0</v>
      </c>
      <c r="E18" s="111">
        <v>0.0</v>
      </c>
      <c r="F18" s="111">
        <f>64.88</f>
        <v>64.88</v>
      </c>
      <c r="G18" s="111">
        <v>0.0</v>
      </c>
    </row>
    <row r="19">
      <c r="A19" s="2">
        <v>18.0</v>
      </c>
      <c r="B19" s="91">
        <v>45125.0</v>
      </c>
      <c r="C19" s="111">
        <f>90+64</f>
        <v>154</v>
      </c>
      <c r="D19" s="111">
        <v>0.0</v>
      </c>
      <c r="E19" s="111">
        <v>0.0</v>
      </c>
      <c r="F19" s="111">
        <v>0.0</v>
      </c>
      <c r="G19" s="111">
        <f>49.65</f>
        <v>49.65</v>
      </c>
    </row>
    <row r="20">
      <c r="A20" s="2">
        <v>19.0</v>
      </c>
      <c r="B20" s="91">
        <v>45126.0</v>
      </c>
      <c r="C20" s="111">
        <f>90</f>
        <v>90</v>
      </c>
      <c r="D20" s="111">
        <v>0.0</v>
      </c>
      <c r="E20" s="111">
        <v>0.0</v>
      </c>
      <c r="F20" s="111">
        <v>0.0</v>
      </c>
      <c r="G20" s="111">
        <f>14.9</f>
        <v>14.9</v>
      </c>
    </row>
    <row r="21">
      <c r="A21" s="2">
        <v>20.0</v>
      </c>
      <c r="B21" s="91">
        <v>45127.0</v>
      </c>
      <c r="C21" s="111">
        <f>335+115+47</f>
        <v>497</v>
      </c>
      <c r="D21" s="111">
        <v>0.0</v>
      </c>
      <c r="E21" s="111">
        <v>0.0</v>
      </c>
      <c r="F21" s="111">
        <v>0.0</v>
      </c>
      <c r="G21" s="111">
        <v>0.0</v>
      </c>
    </row>
    <row r="22">
      <c r="A22" s="2">
        <v>21.0</v>
      </c>
      <c r="B22" s="91">
        <v>45128.0</v>
      </c>
      <c r="C22" s="111">
        <f>45+214</f>
        <v>259</v>
      </c>
      <c r="D22" s="111">
        <v>0.0</v>
      </c>
      <c r="E22" s="111">
        <v>0.0</v>
      </c>
      <c r="F22" s="111">
        <v>0.0</v>
      </c>
      <c r="G22" s="111">
        <f>70</f>
        <v>70</v>
      </c>
    </row>
    <row r="23">
      <c r="A23" s="2">
        <v>22.0</v>
      </c>
      <c r="B23" s="91">
        <v>45129.0</v>
      </c>
      <c r="C23" s="111">
        <f>375+190+85</f>
        <v>650</v>
      </c>
      <c r="D23" s="111">
        <v>0.0</v>
      </c>
      <c r="E23" s="111">
        <v>0.0</v>
      </c>
      <c r="F23" s="111">
        <v>0.0</v>
      </c>
      <c r="G23" s="111">
        <v>0.0</v>
      </c>
    </row>
    <row r="24">
      <c r="A24" s="2">
        <v>23.0</v>
      </c>
      <c r="B24" s="91">
        <v>45130.0</v>
      </c>
      <c r="C24" s="111">
        <f>441+110</f>
        <v>551</v>
      </c>
      <c r="D24" s="111">
        <v>0.0</v>
      </c>
      <c r="E24" s="111">
        <v>0.0</v>
      </c>
      <c r="F24" s="111">
        <v>0.0</v>
      </c>
      <c r="G24" s="111">
        <f>490.35</f>
        <v>490.35</v>
      </c>
    </row>
    <row r="25">
      <c r="A25" s="2">
        <v>24.0</v>
      </c>
      <c r="B25" s="91">
        <v>45131.0</v>
      </c>
      <c r="C25" s="111">
        <f>60</f>
        <v>60</v>
      </c>
      <c r="D25" s="111">
        <v>0.0</v>
      </c>
      <c r="E25" s="111">
        <v>0.0</v>
      </c>
      <c r="F25" s="111">
        <v>0.0</v>
      </c>
      <c r="G25" s="111">
        <v>0.0</v>
      </c>
    </row>
    <row r="26">
      <c r="A26" s="2">
        <v>25.0</v>
      </c>
      <c r="B26" s="91">
        <v>45132.0</v>
      </c>
      <c r="C26" s="111">
        <f>+10+85+58</f>
        <v>153</v>
      </c>
      <c r="D26" s="152">
        <f>75+50</f>
        <v>125</v>
      </c>
      <c r="E26" s="111">
        <v>0.0</v>
      </c>
      <c r="F26" s="111">
        <v>0.0</v>
      </c>
      <c r="G26" s="153">
        <f>11.5+239.96</f>
        <v>251.46</v>
      </c>
    </row>
    <row r="27">
      <c r="A27" s="2">
        <v>26.0</v>
      </c>
      <c r="B27" s="91">
        <v>45133.0</v>
      </c>
      <c r="C27" s="111">
        <f>17+46</f>
        <v>63</v>
      </c>
      <c r="D27" s="111">
        <v>0.0</v>
      </c>
      <c r="E27" s="111">
        <v>0.0</v>
      </c>
      <c r="F27" s="111">
        <v>0.0</v>
      </c>
      <c r="G27" s="111">
        <f>94.41</f>
        <v>94.41</v>
      </c>
    </row>
    <row r="28">
      <c r="A28" s="2">
        <v>27.0</v>
      </c>
      <c r="B28" s="91">
        <v>45134.0</v>
      </c>
      <c r="C28" s="111">
        <f>205+180</f>
        <v>385</v>
      </c>
      <c r="D28" s="111">
        <f>12.43+12.43+10.36</f>
        <v>35.22</v>
      </c>
      <c r="E28" s="111">
        <v>0.0</v>
      </c>
      <c r="F28" s="111">
        <v>0.0</v>
      </c>
      <c r="G28" s="111">
        <v>0.0</v>
      </c>
    </row>
    <row r="29">
      <c r="A29" s="2">
        <v>28.0</v>
      </c>
      <c r="B29" s="91">
        <v>45135.0</v>
      </c>
      <c r="C29" s="111">
        <f>173.25</f>
        <v>173.25</v>
      </c>
      <c r="D29" s="111">
        <v>0.0</v>
      </c>
      <c r="E29" s="111">
        <v>0.0</v>
      </c>
      <c r="F29" s="111">
        <v>0.0</v>
      </c>
      <c r="G29" s="111" t="str">
        <f>#REF!</f>
        <v>#REF!</v>
      </c>
    </row>
    <row r="30">
      <c r="A30" s="2">
        <v>29.0</v>
      </c>
      <c r="B30" s="91">
        <v>45136.0</v>
      </c>
      <c r="C30" s="111">
        <v>0.0</v>
      </c>
      <c r="D30" s="111">
        <f>315.21+350</f>
        <v>665.21</v>
      </c>
      <c r="E30" s="111">
        <v>0.0</v>
      </c>
      <c r="F30" s="111">
        <v>0.0</v>
      </c>
      <c r="G30" s="111">
        <f>700</f>
        <v>700</v>
      </c>
    </row>
    <row r="31">
      <c r="A31" s="2">
        <v>30.0</v>
      </c>
      <c r="B31" s="91">
        <v>45137.0</v>
      </c>
      <c r="C31" s="111">
        <f>160</f>
        <v>160</v>
      </c>
      <c r="D31" s="111">
        <v>0.0</v>
      </c>
      <c r="E31" s="111">
        <v>0.0</v>
      </c>
      <c r="F31" s="111">
        <v>0.0</v>
      </c>
      <c r="G31" s="111">
        <v>0.0</v>
      </c>
    </row>
    <row r="32">
      <c r="B32" s="91">
        <v>45138.0</v>
      </c>
      <c r="C32" s="111">
        <v>0.0</v>
      </c>
      <c r="D32" s="111">
        <f>86.75</f>
        <v>86.75</v>
      </c>
      <c r="E32" s="111">
        <v>0.0</v>
      </c>
      <c r="F32" s="111">
        <v>0.0</v>
      </c>
      <c r="G32" s="111">
        <v>0.0</v>
      </c>
    </row>
  </sheetData>
  <mergeCells count="2">
    <mergeCell ref="I11:K11"/>
    <mergeCell ref="J14:K14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  <col customWidth="1" min="3" max="7" width="7.71"/>
    <col customWidth="1" min="8" max="8" width="14.57"/>
    <col customWidth="1" min="9" max="9" width="9.43"/>
    <col customWidth="1" min="10" max="10" width="10.57"/>
    <col customWidth="1" min="11" max="11" width="11.0"/>
    <col customWidth="1" min="12" max="13" width="8.71"/>
  </cols>
  <sheetData>
    <row r="1">
      <c r="B1" s="106" t="s">
        <v>60</v>
      </c>
      <c r="C1" s="107" t="s">
        <v>35</v>
      </c>
      <c r="D1" s="108" t="s">
        <v>61</v>
      </c>
      <c r="E1" s="108" t="s">
        <v>62</v>
      </c>
      <c r="F1" s="108" t="s">
        <v>40</v>
      </c>
      <c r="G1" s="108" t="s">
        <v>66</v>
      </c>
      <c r="H1" s="110" t="s">
        <v>68</v>
      </c>
      <c r="I1" s="50" t="s">
        <v>69</v>
      </c>
      <c r="J1" s="110" t="s">
        <v>71</v>
      </c>
      <c r="K1" s="57" t="s">
        <v>74</v>
      </c>
      <c r="L1" s="57" t="s">
        <v>66</v>
      </c>
      <c r="M1" s="50" t="s">
        <v>45</v>
      </c>
    </row>
    <row r="2">
      <c r="A2" s="2">
        <v>1.0</v>
      </c>
      <c r="B2" s="91">
        <v>45139.0</v>
      </c>
      <c r="C2" s="111">
        <f>149+160</f>
        <v>309</v>
      </c>
      <c r="D2" s="111">
        <f>12.43*2+11.91</f>
        <v>36.77</v>
      </c>
      <c r="E2" s="111">
        <v>0.0</v>
      </c>
      <c r="F2" s="111">
        <v>0.0</v>
      </c>
      <c r="G2" s="111">
        <f>450+229.5</f>
        <v>679.5</v>
      </c>
      <c r="H2" s="112">
        <f>+AVERAGE(C2:C31)</f>
        <v>211.2103333</v>
      </c>
      <c r="I2" s="113" t="str">
        <f>+M2/A29</f>
        <v>#REF!</v>
      </c>
      <c r="J2" s="114">
        <f t="shared" ref="J2:K2" si="1">+SUM(C2:C32)</f>
        <v>6607.73</v>
      </c>
      <c r="K2" s="113">
        <f t="shared" si="1"/>
        <v>198.52</v>
      </c>
      <c r="L2" s="113" t="str">
        <f>+SUM(G2:G32)</f>
        <v>#REF!</v>
      </c>
      <c r="M2" s="115" t="str">
        <f>+SUM(C2:G32)</f>
        <v>#REF!</v>
      </c>
    </row>
    <row r="3">
      <c r="A3" s="2">
        <v>2.0</v>
      </c>
      <c r="B3" s="91">
        <v>45140.0</v>
      </c>
      <c r="C3" s="111">
        <f>90</f>
        <v>90</v>
      </c>
      <c r="D3" s="111">
        <v>0.0</v>
      </c>
      <c r="E3" s="111">
        <v>0.0</v>
      </c>
      <c r="F3" s="111">
        <v>0.0</v>
      </c>
      <c r="G3" s="111">
        <f>14.01</f>
        <v>14.01</v>
      </c>
      <c r="M3" s="105"/>
    </row>
    <row r="4">
      <c r="A4" s="2">
        <v>3.0</v>
      </c>
      <c r="B4" s="91">
        <v>45141.0</v>
      </c>
      <c r="C4" s="111">
        <f>66.55+48</f>
        <v>114.55</v>
      </c>
      <c r="D4" s="111">
        <v>0.0</v>
      </c>
      <c r="E4" s="111">
        <v>0.0</v>
      </c>
      <c r="F4" s="111">
        <v>0.0</v>
      </c>
      <c r="G4" s="111">
        <f>237.26+1470.19+297.91</f>
        <v>2005.36</v>
      </c>
    </row>
    <row r="5">
      <c r="A5" s="2">
        <v>4.0</v>
      </c>
      <c r="B5" s="91">
        <v>45142.0</v>
      </c>
      <c r="C5" s="111">
        <f>329.25+86.23+162.22+218.74+76</f>
        <v>872.44</v>
      </c>
      <c r="D5" s="111">
        <v>0.0</v>
      </c>
      <c r="E5" s="111">
        <v>0.0</v>
      </c>
      <c r="F5" s="111">
        <f>291.5</f>
        <v>291.5</v>
      </c>
      <c r="G5" s="111">
        <f>80.77</f>
        <v>80.77</v>
      </c>
    </row>
    <row r="6">
      <c r="A6" s="2">
        <v>5.0</v>
      </c>
      <c r="B6" s="91">
        <v>45143.0</v>
      </c>
      <c r="C6" s="111">
        <f>76+12.75+14+135</f>
        <v>237.75</v>
      </c>
      <c r="D6" s="111">
        <v>0.0</v>
      </c>
      <c r="E6" s="111">
        <v>0.0</v>
      </c>
      <c r="F6" s="111">
        <v>0.0</v>
      </c>
      <c r="G6" s="111">
        <f>39</f>
        <v>39</v>
      </c>
    </row>
    <row r="7">
      <c r="A7" s="2">
        <v>6.0</v>
      </c>
      <c r="B7" s="91">
        <v>45144.0</v>
      </c>
      <c r="C7" s="111">
        <v>0.0</v>
      </c>
      <c r="D7" s="111">
        <v>0.0</v>
      </c>
      <c r="E7" s="111">
        <v>0.0</v>
      </c>
      <c r="F7" s="111">
        <v>0.0</v>
      </c>
      <c r="G7" s="111">
        <f>833.35</f>
        <v>833.35</v>
      </c>
    </row>
    <row r="8">
      <c r="A8" s="2">
        <v>7.0</v>
      </c>
      <c r="B8" s="91">
        <v>45145.0</v>
      </c>
      <c r="C8" s="111">
        <v>0.0</v>
      </c>
      <c r="D8" s="111">
        <v>0.0</v>
      </c>
      <c r="E8" s="111">
        <v>0.0</v>
      </c>
      <c r="F8" s="111">
        <f>349.9</f>
        <v>349.9</v>
      </c>
      <c r="G8" s="111" t="str">
        <f>116+73+#REF!+20.31</f>
        <v>#REF!</v>
      </c>
    </row>
    <row r="9">
      <c r="A9" s="2">
        <v>8.0</v>
      </c>
      <c r="B9" s="91">
        <v>45146.0</v>
      </c>
      <c r="C9" s="111">
        <f>28.4+85</f>
        <v>113.4</v>
      </c>
      <c r="D9" s="111">
        <v>0.0</v>
      </c>
      <c r="E9" s="111">
        <v>0.0</v>
      </c>
      <c r="F9" s="111">
        <v>0.0</v>
      </c>
      <c r="G9" s="111">
        <f>63.89</f>
        <v>63.89</v>
      </c>
      <c r="I9" s="105"/>
    </row>
    <row r="10">
      <c r="A10" s="2">
        <v>9.0</v>
      </c>
      <c r="B10" s="91">
        <v>45147.0</v>
      </c>
      <c r="C10" s="111">
        <f>73</f>
        <v>73</v>
      </c>
      <c r="D10" s="111">
        <v>0.0</v>
      </c>
      <c r="E10" s="111">
        <v>0.0</v>
      </c>
      <c r="F10" s="111">
        <v>0.0</v>
      </c>
      <c r="G10" s="111">
        <v>0.0</v>
      </c>
    </row>
    <row r="11">
      <c r="A11" s="2">
        <v>10.0</v>
      </c>
      <c r="B11" s="91">
        <v>45148.0</v>
      </c>
      <c r="C11" s="111">
        <f>60+97.75</f>
        <v>157.75</v>
      </c>
      <c r="D11" s="111">
        <v>0.0</v>
      </c>
      <c r="E11" s="111">
        <v>0.0</v>
      </c>
      <c r="F11" s="111">
        <v>0.0</v>
      </c>
      <c r="G11" s="111">
        <v>0.0</v>
      </c>
      <c r="I11" s="140" t="s">
        <v>78</v>
      </c>
      <c r="J11" s="141"/>
      <c r="K11" s="142"/>
    </row>
    <row r="12">
      <c r="A12" s="2">
        <v>11.0</v>
      </c>
      <c r="B12" s="91">
        <v>45149.0</v>
      </c>
      <c r="C12" s="111">
        <v>0.0</v>
      </c>
      <c r="D12" s="111">
        <v>0.0</v>
      </c>
      <c r="E12" s="111">
        <v>0.0</v>
      </c>
      <c r="F12" s="111">
        <v>0.0</v>
      </c>
      <c r="G12" s="111">
        <f>73.7</f>
        <v>73.7</v>
      </c>
      <c r="I12" s="143" t="s">
        <v>22</v>
      </c>
      <c r="J12" s="144" t="s">
        <v>85</v>
      </c>
      <c r="K12" s="145" t="s">
        <v>86</v>
      </c>
    </row>
    <row r="13">
      <c r="A13" s="2">
        <v>12.0</v>
      </c>
      <c r="B13" s="91">
        <v>45150.0</v>
      </c>
      <c r="C13" s="111">
        <f>40+120</f>
        <v>160</v>
      </c>
      <c r="D13" s="111">
        <v>0.0</v>
      </c>
      <c r="E13" s="111">
        <v>0.0</v>
      </c>
      <c r="F13" s="111">
        <v>0.0</v>
      </c>
      <c r="G13" s="111">
        <f>270+22</f>
        <v>292</v>
      </c>
      <c r="I13" s="146" t="str">
        <f>M2</f>
        <v>#REF!</v>
      </c>
      <c r="J13" s="150">
        <v>0.0</v>
      </c>
      <c r="K13" s="147">
        <f>0</f>
        <v>0</v>
      </c>
    </row>
    <row r="14">
      <c r="A14" s="2">
        <v>13.0</v>
      </c>
      <c r="B14" s="91">
        <v>45151.0</v>
      </c>
      <c r="C14" s="111">
        <f>34.85+105.1+100+132</f>
        <v>371.95</v>
      </c>
      <c r="D14" s="111">
        <v>0.0</v>
      </c>
      <c r="E14" s="111">
        <v>0.0</v>
      </c>
      <c r="F14" s="111">
        <v>0.0</v>
      </c>
      <c r="G14" s="111">
        <f>203.53</f>
        <v>203.53</v>
      </c>
      <c r="I14" s="148" t="s">
        <v>81</v>
      </c>
      <c r="J14" s="151" t="str">
        <f>SUM(I13:K13)</f>
        <v>#REF!</v>
      </c>
      <c r="K14" s="142"/>
    </row>
    <row r="15">
      <c r="A15" s="2">
        <v>14.0</v>
      </c>
      <c r="B15" s="91">
        <v>45152.0</v>
      </c>
      <c r="C15" s="111">
        <f>73</f>
        <v>73</v>
      </c>
      <c r="D15" s="111">
        <v>0.0</v>
      </c>
      <c r="E15" s="111">
        <v>0.0</v>
      </c>
      <c r="F15" s="111">
        <v>0.0</v>
      </c>
      <c r="G15" s="111">
        <f>700+150</f>
        <v>850</v>
      </c>
    </row>
    <row r="16">
      <c r="A16" s="2">
        <v>15.0</v>
      </c>
      <c r="B16" s="91">
        <v>45153.0</v>
      </c>
      <c r="C16" s="111">
        <f>135+112+260</f>
        <v>507</v>
      </c>
      <c r="D16" s="111">
        <v>0.0</v>
      </c>
      <c r="E16" s="111">
        <v>0.0</v>
      </c>
      <c r="F16" s="111">
        <v>0.0</v>
      </c>
      <c r="G16" s="111">
        <f>331.25+55+63.86</f>
        <v>450.11</v>
      </c>
    </row>
    <row r="17">
      <c r="A17" s="2">
        <v>16.0</v>
      </c>
      <c r="B17" s="91">
        <v>45154.0</v>
      </c>
      <c r="C17" s="111">
        <f>19.9</f>
        <v>19.9</v>
      </c>
      <c r="D17" s="111">
        <v>0.0</v>
      </c>
      <c r="E17" s="111">
        <v>0.0</v>
      </c>
      <c r="F17" s="111">
        <v>0.0</v>
      </c>
      <c r="G17" s="111">
        <f>60</f>
        <v>60</v>
      </c>
    </row>
    <row r="18">
      <c r="A18" s="2">
        <v>17.0</v>
      </c>
      <c r="B18" s="91">
        <v>45155.0</v>
      </c>
      <c r="C18" s="111">
        <v>0.0</v>
      </c>
      <c r="D18" s="111">
        <v>0.0</v>
      </c>
      <c r="E18" s="111">
        <v>0.0</v>
      </c>
      <c r="F18" s="111">
        <v>0.0</v>
      </c>
      <c r="G18" s="111">
        <v>0.0</v>
      </c>
    </row>
    <row r="19">
      <c r="A19" s="2">
        <v>18.0</v>
      </c>
      <c r="B19" s="91">
        <v>45156.0</v>
      </c>
      <c r="C19" s="111">
        <f>159.25+114+260</f>
        <v>533.25</v>
      </c>
      <c r="D19" s="111">
        <v>0.0</v>
      </c>
      <c r="E19" s="111">
        <v>0.0</v>
      </c>
      <c r="F19" s="111">
        <v>0.0</v>
      </c>
      <c r="G19" s="111">
        <f>14.9</f>
        <v>14.9</v>
      </c>
    </row>
    <row r="20">
      <c r="A20" s="2">
        <v>19.0</v>
      </c>
      <c r="B20" s="91">
        <v>45157.0</v>
      </c>
      <c r="C20" s="111">
        <v>0.0</v>
      </c>
      <c r="D20" s="111">
        <v>0.0</v>
      </c>
      <c r="E20" s="111">
        <v>0.0</v>
      </c>
      <c r="F20" s="111">
        <v>0.0</v>
      </c>
      <c r="G20" s="111">
        <v>0.0</v>
      </c>
    </row>
    <row r="21">
      <c r="A21" s="2">
        <v>20.0</v>
      </c>
      <c r="B21" s="91">
        <v>45158.0</v>
      </c>
      <c r="C21" s="111">
        <f>22.5</f>
        <v>22.5</v>
      </c>
      <c r="D21" s="111">
        <v>0.0</v>
      </c>
      <c r="E21" s="111">
        <v>0.0</v>
      </c>
      <c r="F21" s="111">
        <v>0.0</v>
      </c>
      <c r="G21" s="111">
        <v>0.0</v>
      </c>
    </row>
    <row r="22">
      <c r="A22" s="2">
        <v>21.0</v>
      </c>
      <c r="B22" s="91">
        <v>45159.0</v>
      </c>
      <c r="C22" s="111">
        <f>94.75+55</f>
        <v>149.75</v>
      </c>
      <c r="D22" s="111">
        <v>0.0</v>
      </c>
      <c r="E22" s="111">
        <v>0.0</v>
      </c>
      <c r="F22" s="111">
        <v>0.0</v>
      </c>
      <c r="G22" s="111">
        <v>0.0</v>
      </c>
    </row>
    <row r="23">
      <c r="A23" s="2">
        <v>22.0</v>
      </c>
      <c r="B23" s="91">
        <v>45160.0</v>
      </c>
      <c r="C23" s="111">
        <f>115</f>
        <v>115</v>
      </c>
      <c r="D23" s="111">
        <v>0.0</v>
      </c>
      <c r="E23" s="111">
        <v>0.0</v>
      </c>
      <c r="F23" s="111">
        <v>0.0</v>
      </c>
      <c r="G23" s="111">
        <v>0.0</v>
      </c>
    </row>
    <row r="24">
      <c r="A24" s="2">
        <v>23.0</v>
      </c>
      <c r="B24" s="91">
        <v>45161.0</v>
      </c>
      <c r="C24" s="111">
        <f>115.61+73</f>
        <v>188.61</v>
      </c>
      <c r="D24" s="111">
        <v>0.0</v>
      </c>
      <c r="E24" s="111">
        <v>0.0</v>
      </c>
      <c r="F24" s="111">
        <v>0.0</v>
      </c>
      <c r="G24" s="111">
        <f>490.32</f>
        <v>490.32</v>
      </c>
    </row>
    <row r="25">
      <c r="A25" s="2">
        <v>24.0</v>
      </c>
      <c r="B25" s="91">
        <v>45162.0</v>
      </c>
      <c r="C25" s="111">
        <f>15.54</f>
        <v>15.54</v>
      </c>
      <c r="D25" s="111">
        <v>0.0</v>
      </c>
      <c r="E25" s="111">
        <v>0.0</v>
      </c>
      <c r="F25" s="111">
        <v>0.0</v>
      </c>
      <c r="G25" s="111">
        <v>0.0</v>
      </c>
    </row>
    <row r="26">
      <c r="A26" s="2">
        <v>25.0</v>
      </c>
      <c r="B26" s="91">
        <v>45163.0</v>
      </c>
      <c r="C26" s="111">
        <f>304+329</f>
        <v>633</v>
      </c>
      <c r="D26" s="111">
        <f>75</f>
        <v>75</v>
      </c>
      <c r="E26" s="111">
        <v>0.0</v>
      </c>
      <c r="F26" s="111">
        <v>0.0</v>
      </c>
      <c r="G26" s="111">
        <f>51</f>
        <v>51</v>
      </c>
    </row>
    <row r="27">
      <c r="A27" s="2">
        <v>26.0</v>
      </c>
      <c r="B27" s="91">
        <v>45164.0</v>
      </c>
      <c r="C27" s="111">
        <f>90+140+143.16</f>
        <v>373.16</v>
      </c>
      <c r="D27" s="111">
        <v>0.0</v>
      </c>
      <c r="E27" s="111">
        <v>0.0</v>
      </c>
      <c r="F27" s="111">
        <v>0.0</v>
      </c>
      <c r="G27" s="111">
        <f>210+131.63+94.37</f>
        <v>436</v>
      </c>
    </row>
    <row r="28">
      <c r="A28" s="2">
        <v>27.0</v>
      </c>
      <c r="B28" s="91">
        <v>45165.0</v>
      </c>
      <c r="C28" s="111">
        <f>130+60</f>
        <v>190</v>
      </c>
      <c r="D28" s="111">
        <v>0.0</v>
      </c>
      <c r="E28" s="111">
        <v>0.0</v>
      </c>
      <c r="F28" s="111">
        <v>0.0</v>
      </c>
      <c r="G28" s="111">
        <v>0.0</v>
      </c>
    </row>
    <row r="29">
      <c r="A29" s="2">
        <v>28.0</v>
      </c>
      <c r="B29" s="91">
        <v>45166.0</v>
      </c>
      <c r="C29" s="111">
        <f>73</f>
        <v>73</v>
      </c>
      <c r="D29" s="111">
        <v>0.0</v>
      </c>
      <c r="E29" s="111">
        <v>0.0</v>
      </c>
      <c r="F29" s="111">
        <v>0.0</v>
      </c>
      <c r="G29" s="111">
        <f>149.97+1850</f>
        <v>1999.97</v>
      </c>
    </row>
    <row r="30">
      <c r="A30" s="2">
        <v>29.0</v>
      </c>
      <c r="B30" s="91">
        <v>45167.0</v>
      </c>
      <c r="C30" s="111">
        <f>285</f>
        <v>285</v>
      </c>
      <c r="D30" s="111">
        <v>0.0</v>
      </c>
      <c r="E30" s="111">
        <v>0.0</v>
      </c>
      <c r="F30" s="111">
        <v>0.0</v>
      </c>
      <c r="G30" s="111">
        <f>700</f>
        <v>700</v>
      </c>
    </row>
    <row r="31">
      <c r="A31" s="2">
        <v>30.0</v>
      </c>
      <c r="B31" s="91">
        <v>45168.0</v>
      </c>
      <c r="C31" s="111">
        <f>106.5+57.26+199+295</f>
        <v>657.76</v>
      </c>
      <c r="D31" s="111">
        <v>0.0</v>
      </c>
      <c r="E31" s="111">
        <v>0.0</v>
      </c>
      <c r="F31" s="111">
        <v>0.0</v>
      </c>
      <c r="G31" s="111">
        <v>0.0</v>
      </c>
    </row>
    <row r="32">
      <c r="A32" s="2">
        <v>31.0</v>
      </c>
      <c r="B32" s="91">
        <v>45169.0</v>
      </c>
      <c r="C32" s="111">
        <f>92.78+178.64</f>
        <v>271.42</v>
      </c>
      <c r="D32" s="111">
        <f>86.75</f>
        <v>86.75</v>
      </c>
      <c r="E32" s="111">
        <v>0.0</v>
      </c>
      <c r="F32" s="111">
        <v>0.0</v>
      </c>
      <c r="G32" s="111">
        <f>75</f>
        <v>75</v>
      </c>
    </row>
  </sheetData>
  <mergeCells count="2">
    <mergeCell ref="I11:K11"/>
    <mergeCell ref="J14:K1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0.14"/>
  </cols>
  <sheetData>
    <row r="1">
      <c r="B1" s="106" t="s">
        <v>60</v>
      </c>
      <c r="C1" s="107" t="s">
        <v>35</v>
      </c>
      <c r="D1" s="108" t="s">
        <v>61</v>
      </c>
      <c r="E1" s="108" t="s">
        <v>62</v>
      </c>
      <c r="F1" s="108" t="s">
        <v>40</v>
      </c>
      <c r="G1" s="108" t="s">
        <v>66</v>
      </c>
      <c r="H1" s="109" t="s">
        <v>67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A2" s="2">
        <v>1.0</v>
      </c>
      <c r="B2" s="91">
        <v>45170.0</v>
      </c>
      <c r="C2" s="111">
        <f>73</f>
        <v>73</v>
      </c>
      <c r="D2" s="111">
        <v>0.0</v>
      </c>
      <c r="E2" s="111">
        <v>0.0</v>
      </c>
      <c r="F2" s="111">
        <v>0.0</v>
      </c>
      <c r="G2" s="111" t="str">
        <f>#REF!+#REF!</f>
        <v>#REF!</v>
      </c>
      <c r="H2" s="96" t="str">
        <f t="shared" ref="H2:H31" si="2">SUM(C2:G2)</f>
        <v>#REF!</v>
      </c>
      <c r="I2" s="112">
        <f>+AVERAGE(C2:C31)</f>
        <v>216.609</v>
      </c>
      <c r="J2" s="113" t="str">
        <f>+N2/A29</f>
        <v>#REF!</v>
      </c>
      <c r="K2" s="114">
        <f t="shared" ref="K2:L2" si="1">+SUM(C2:C31)</f>
        <v>6498.27</v>
      </c>
      <c r="L2" s="113">
        <f t="shared" si="1"/>
        <v>73.45</v>
      </c>
      <c r="M2" s="113" t="str">
        <f>+SUM(G2:G31)</f>
        <v>#REF!</v>
      </c>
      <c r="N2" s="115" t="str">
        <f>+SUM(C2:G31)</f>
        <v>#REF!</v>
      </c>
    </row>
    <row r="3">
      <c r="A3" s="2">
        <v>2.0</v>
      </c>
      <c r="B3" s="91">
        <v>45171.0</v>
      </c>
      <c r="C3" s="111">
        <f>100.95</f>
        <v>100.95</v>
      </c>
      <c r="D3" s="111">
        <v>0.0</v>
      </c>
      <c r="E3" s="111">
        <v>0.0</v>
      </c>
      <c r="F3" s="111">
        <f>13.88</f>
        <v>13.88</v>
      </c>
      <c r="G3" s="111">
        <v>0.0</v>
      </c>
      <c r="H3" s="96">
        <f t="shared" si="2"/>
        <v>114.83</v>
      </c>
      <c r="N3" s="105"/>
    </row>
    <row r="4">
      <c r="A4" s="2">
        <v>3.0</v>
      </c>
      <c r="B4" s="91">
        <v>45172.0</v>
      </c>
      <c r="C4" s="111">
        <v>0.0</v>
      </c>
      <c r="D4" s="111">
        <v>0.0</v>
      </c>
      <c r="E4" s="111">
        <v>0.0</v>
      </c>
      <c r="F4" s="111">
        <v>0.0</v>
      </c>
      <c r="G4" s="111" t="str">
        <f>#REF!+#REF!</f>
        <v>#REF!</v>
      </c>
      <c r="H4" s="96" t="str">
        <f t="shared" si="2"/>
        <v>#REF!</v>
      </c>
    </row>
    <row r="5">
      <c r="A5" s="2">
        <v>4.0</v>
      </c>
      <c r="B5" s="91">
        <v>45173.0</v>
      </c>
      <c r="C5" s="111">
        <f>109.99</f>
        <v>109.99</v>
      </c>
      <c r="D5" s="111">
        <v>0.0</v>
      </c>
      <c r="E5" s="111">
        <v>0.0</v>
      </c>
      <c r="F5" s="111">
        <v>0.0</v>
      </c>
      <c r="G5" s="111" t="str">
        <f>#REF!</f>
        <v>#REF!</v>
      </c>
      <c r="H5" s="96" t="str">
        <f t="shared" si="2"/>
        <v>#REF!</v>
      </c>
    </row>
    <row r="6">
      <c r="A6" s="2">
        <v>5.0</v>
      </c>
      <c r="B6" s="91">
        <v>45174.0</v>
      </c>
      <c r="C6" s="111">
        <f>251.37+73</f>
        <v>324.37</v>
      </c>
      <c r="D6" s="111">
        <v>0.0</v>
      </c>
      <c r="E6" s="111">
        <v>0.0</v>
      </c>
      <c r="F6" s="111">
        <f>350</f>
        <v>350</v>
      </c>
      <c r="G6" s="111">
        <f>39</f>
        <v>39</v>
      </c>
      <c r="H6" s="96">
        <f t="shared" si="2"/>
        <v>713.37</v>
      </c>
    </row>
    <row r="7">
      <c r="A7" s="2">
        <v>6.0</v>
      </c>
      <c r="B7" s="91">
        <v>45175.0</v>
      </c>
      <c r="C7" s="111">
        <f>48.97</f>
        <v>48.97</v>
      </c>
      <c r="D7" s="111">
        <v>0.0</v>
      </c>
      <c r="E7" s="111">
        <v>0.0</v>
      </c>
      <c r="F7" s="111">
        <v>0.0</v>
      </c>
      <c r="G7" s="111">
        <f>20.47</f>
        <v>20.47</v>
      </c>
      <c r="H7" s="96">
        <f t="shared" si="2"/>
        <v>69.44</v>
      </c>
    </row>
    <row r="8">
      <c r="A8" s="2">
        <v>7.0</v>
      </c>
      <c r="B8" s="91">
        <v>45176.0</v>
      </c>
      <c r="C8" s="111">
        <v>0.0</v>
      </c>
      <c r="D8" s="111">
        <v>0.0</v>
      </c>
      <c r="E8" s="111">
        <v>0.0</v>
      </c>
      <c r="F8" s="111">
        <f>156.25</f>
        <v>156.25</v>
      </c>
      <c r="G8" s="111" t="str">
        <f>#REF!+#REF!</f>
        <v>#REF!</v>
      </c>
      <c r="H8" s="96" t="str">
        <f t="shared" si="2"/>
        <v>#REF!</v>
      </c>
    </row>
    <row r="9">
      <c r="A9" s="2">
        <v>8.0</v>
      </c>
      <c r="B9" s="91">
        <v>45177.0</v>
      </c>
      <c r="C9" s="111">
        <v>0.0</v>
      </c>
      <c r="D9" s="111">
        <v>0.0</v>
      </c>
      <c r="E9" s="111">
        <v>0.0</v>
      </c>
      <c r="F9" s="111">
        <v>0.0</v>
      </c>
      <c r="G9" s="111" t="str">
        <f>#REF!</f>
        <v>#REF!</v>
      </c>
      <c r="H9" s="96" t="str">
        <f t="shared" si="2"/>
        <v>#REF!</v>
      </c>
      <c r="J9" s="105"/>
    </row>
    <row r="10">
      <c r="A10" s="2">
        <v>9.0</v>
      </c>
      <c r="B10" s="91">
        <v>45178.0</v>
      </c>
      <c r="C10" s="111">
        <f>301.75</f>
        <v>301.75</v>
      </c>
      <c r="D10" s="111">
        <v>0.0</v>
      </c>
      <c r="E10" s="111">
        <v>0.0</v>
      </c>
      <c r="F10" s="111">
        <v>0.0</v>
      </c>
      <c r="G10" s="111">
        <f>39.5</f>
        <v>39.5</v>
      </c>
      <c r="H10" s="96">
        <f t="shared" si="2"/>
        <v>341.25</v>
      </c>
    </row>
    <row r="11">
      <c r="A11" s="2">
        <v>10.0</v>
      </c>
      <c r="B11" s="91">
        <v>45179.0</v>
      </c>
      <c r="C11" s="111">
        <f>50+415</f>
        <v>465</v>
      </c>
      <c r="D11" s="111">
        <v>0.0</v>
      </c>
      <c r="E11" s="111">
        <v>0.0</v>
      </c>
      <c r="F11" s="111">
        <v>0.0</v>
      </c>
      <c r="G11" s="111">
        <v>0.0</v>
      </c>
      <c r="H11" s="96">
        <f t="shared" si="2"/>
        <v>465</v>
      </c>
      <c r="J11" s="154" t="s">
        <v>78</v>
      </c>
      <c r="K11" s="155"/>
      <c r="L11" s="119"/>
    </row>
    <row r="12">
      <c r="A12" s="2">
        <v>11.0</v>
      </c>
      <c r="B12" s="91">
        <v>45180.0</v>
      </c>
      <c r="C12" s="111">
        <v>0.0</v>
      </c>
      <c r="D12" s="111">
        <v>0.0</v>
      </c>
      <c r="E12" s="111">
        <v>0.0</v>
      </c>
      <c r="F12" s="111">
        <v>0.0</v>
      </c>
      <c r="G12" s="111">
        <v>0.0</v>
      </c>
      <c r="H12" s="96">
        <f t="shared" si="2"/>
        <v>0</v>
      </c>
      <c r="J12" s="156" t="s">
        <v>22</v>
      </c>
      <c r="K12" s="157" t="s">
        <v>86</v>
      </c>
    </row>
    <row r="13">
      <c r="A13" s="2">
        <v>12.0</v>
      </c>
      <c r="B13" s="91">
        <v>45181.0</v>
      </c>
      <c r="C13" s="111">
        <f>70+422.53+197+147+55.36+4.25</f>
        <v>896.14</v>
      </c>
      <c r="D13" s="111">
        <v>0.0</v>
      </c>
      <c r="E13" s="111">
        <v>0.0</v>
      </c>
      <c r="F13" s="111">
        <v>0.0</v>
      </c>
      <c r="G13" s="111">
        <f>22</f>
        <v>22</v>
      </c>
      <c r="H13" s="96">
        <f t="shared" si="2"/>
        <v>918.14</v>
      </c>
      <c r="J13" s="158" t="str">
        <f>N2</f>
        <v>#REF!</v>
      </c>
      <c r="K13" s="159">
        <v>1700.0</v>
      </c>
    </row>
    <row r="14">
      <c r="A14" s="2">
        <v>13.0</v>
      </c>
      <c r="B14" s="91">
        <v>45182.0</v>
      </c>
      <c r="C14" s="111">
        <f>179.01</f>
        <v>179.01</v>
      </c>
      <c r="D14" s="111">
        <v>0.0</v>
      </c>
      <c r="E14" s="111">
        <v>0.0</v>
      </c>
      <c r="F14" s="111">
        <v>0.0</v>
      </c>
      <c r="G14" s="111" t="str">
        <f>#REF!</f>
        <v>#REF!</v>
      </c>
      <c r="H14" s="96" t="str">
        <f t="shared" si="2"/>
        <v>#REF!</v>
      </c>
      <c r="J14" s="160" t="s">
        <v>81</v>
      </c>
      <c r="K14" s="160" t="str">
        <f>SUM(J13:K13)</f>
        <v>#REF!</v>
      </c>
      <c r="L14" s="161"/>
    </row>
    <row r="15">
      <c r="A15" s="2">
        <v>14.0</v>
      </c>
      <c r="B15" s="91">
        <v>45183.0</v>
      </c>
      <c r="C15" s="111">
        <v>0.0</v>
      </c>
      <c r="D15" s="111">
        <v>0.0</v>
      </c>
      <c r="E15" s="111">
        <v>0.0</v>
      </c>
      <c r="F15" s="111">
        <v>0.0</v>
      </c>
      <c r="G15" s="111" t="str">
        <f t="shared" ref="G15:G17" si="3">#REF!+#REF!</f>
        <v>#REF!</v>
      </c>
      <c r="H15" s="96" t="str">
        <f t="shared" si="2"/>
        <v>#REF!</v>
      </c>
    </row>
    <row r="16">
      <c r="A16" s="2">
        <v>15.0</v>
      </c>
      <c r="B16" s="91">
        <v>45184.0</v>
      </c>
      <c r="C16" s="111">
        <f>85.82</f>
        <v>85.82</v>
      </c>
      <c r="D16" s="111">
        <v>0.0</v>
      </c>
      <c r="E16" s="111">
        <v>0.0</v>
      </c>
      <c r="F16" s="111">
        <v>0.0</v>
      </c>
      <c r="G16" s="111" t="str">
        <f t="shared" si="3"/>
        <v>#REF!</v>
      </c>
      <c r="H16" s="96" t="str">
        <f t="shared" si="2"/>
        <v>#REF!</v>
      </c>
    </row>
    <row r="17">
      <c r="A17" s="2">
        <v>16.0</v>
      </c>
      <c r="B17" s="91">
        <v>45185.0</v>
      </c>
      <c r="C17" s="111">
        <f>45+275+139.21+187.95+73</f>
        <v>720.16</v>
      </c>
      <c r="D17" s="111">
        <v>0.0</v>
      </c>
      <c r="E17" s="111">
        <v>0.0</v>
      </c>
      <c r="F17" s="111">
        <v>0.0</v>
      </c>
      <c r="G17" s="111" t="str">
        <f t="shared" si="3"/>
        <v>#REF!</v>
      </c>
      <c r="H17" s="96" t="str">
        <f t="shared" si="2"/>
        <v>#REF!</v>
      </c>
    </row>
    <row r="18">
      <c r="A18" s="2">
        <v>17.0</v>
      </c>
      <c r="B18" s="91">
        <v>45186.0</v>
      </c>
      <c r="C18" s="111">
        <f>185+24.9</f>
        <v>209.9</v>
      </c>
      <c r="D18" s="111">
        <v>0.0</v>
      </c>
      <c r="E18" s="111">
        <v>0.0</v>
      </c>
      <c r="F18" s="111">
        <v>0.0</v>
      </c>
      <c r="G18" s="111">
        <f>14.9</f>
        <v>14.9</v>
      </c>
      <c r="H18" s="96">
        <f t="shared" si="2"/>
        <v>224.8</v>
      </c>
    </row>
    <row r="19">
      <c r="A19" s="2">
        <v>18.0</v>
      </c>
      <c r="B19" s="91">
        <v>45187.0</v>
      </c>
      <c r="C19" s="111">
        <v>0.0</v>
      </c>
      <c r="D19" s="111">
        <v>0.0</v>
      </c>
      <c r="E19" s="111">
        <v>0.0</v>
      </c>
      <c r="F19" s="111">
        <v>0.0</v>
      </c>
      <c r="G19" s="111" t="str">
        <f>#REF!</f>
        <v>#REF!</v>
      </c>
      <c r="H19" s="96" t="str">
        <f t="shared" si="2"/>
        <v>#REF!</v>
      </c>
    </row>
    <row r="20">
      <c r="A20" s="2">
        <v>19.0</v>
      </c>
      <c r="B20" s="91">
        <v>45188.0</v>
      </c>
      <c r="C20" s="111">
        <f>12+555</f>
        <v>567</v>
      </c>
      <c r="D20" s="111">
        <v>0.0</v>
      </c>
      <c r="E20" s="111">
        <v>0.0</v>
      </c>
      <c r="F20" s="111">
        <v>0.0</v>
      </c>
      <c r="G20" s="111">
        <f>73.75</f>
        <v>73.75</v>
      </c>
      <c r="H20" s="96">
        <f t="shared" si="2"/>
        <v>640.75</v>
      </c>
    </row>
    <row r="21">
      <c r="A21" s="2">
        <v>20.0</v>
      </c>
      <c r="B21" s="91">
        <v>45189.0</v>
      </c>
      <c r="C21" s="111">
        <v>0.0</v>
      </c>
      <c r="D21" s="111">
        <v>0.0</v>
      </c>
      <c r="E21" s="111">
        <v>0.0</v>
      </c>
      <c r="F21" s="111">
        <v>0.0</v>
      </c>
      <c r="G21" s="111" t="str">
        <f>#REF!+69.9</f>
        <v>#REF!</v>
      </c>
      <c r="H21" s="96" t="str">
        <f t="shared" si="2"/>
        <v>#REF!</v>
      </c>
    </row>
    <row r="22">
      <c r="A22" s="2">
        <v>21.0</v>
      </c>
      <c r="B22" s="91">
        <v>45190.0</v>
      </c>
      <c r="C22" s="111">
        <f>23.65+223.76+70+50.3</f>
        <v>367.71</v>
      </c>
      <c r="D22" s="111">
        <v>0.0</v>
      </c>
      <c r="E22" s="111">
        <v>0.0</v>
      </c>
      <c r="F22" s="111">
        <v>0.0</v>
      </c>
      <c r="G22" s="111">
        <f>119.98</f>
        <v>119.98</v>
      </c>
      <c r="H22" s="96">
        <f t="shared" si="2"/>
        <v>487.69</v>
      </c>
    </row>
    <row r="23">
      <c r="A23" s="2">
        <v>22.0</v>
      </c>
      <c r="B23" s="91">
        <v>45191.0</v>
      </c>
      <c r="C23" s="111">
        <v>0.0</v>
      </c>
      <c r="D23" s="111">
        <v>0.0</v>
      </c>
      <c r="E23" s="111">
        <v>0.0</v>
      </c>
      <c r="F23" s="111">
        <v>0.0</v>
      </c>
      <c r="G23" s="111">
        <v>0.0</v>
      </c>
      <c r="H23" s="96">
        <f t="shared" si="2"/>
        <v>0</v>
      </c>
    </row>
    <row r="24">
      <c r="A24" s="2">
        <v>23.0</v>
      </c>
      <c r="B24" s="91">
        <v>45192.0</v>
      </c>
      <c r="C24" s="111">
        <f>90+33.65</f>
        <v>123.65</v>
      </c>
      <c r="D24" s="111">
        <v>0.0</v>
      </c>
      <c r="E24" s="111">
        <v>0.0</v>
      </c>
      <c r="F24" s="111">
        <v>0.0</v>
      </c>
      <c r="G24" s="111" t="str">
        <f>#REF!</f>
        <v>#REF!</v>
      </c>
      <c r="H24" s="96" t="str">
        <f t="shared" si="2"/>
        <v>#REF!</v>
      </c>
    </row>
    <row r="25">
      <c r="A25" s="2">
        <v>24.0</v>
      </c>
      <c r="B25" s="91">
        <v>45193.0</v>
      </c>
      <c r="C25" s="111">
        <f>181.75+70+92.07</f>
        <v>343.82</v>
      </c>
      <c r="D25" s="111">
        <v>0.0</v>
      </c>
      <c r="E25" s="111">
        <v>0.0</v>
      </c>
      <c r="F25" s="111">
        <v>0.0</v>
      </c>
      <c r="G25" s="111">
        <f>90</f>
        <v>90</v>
      </c>
      <c r="H25" s="96">
        <f t="shared" si="2"/>
        <v>433.82</v>
      </c>
    </row>
    <row r="26">
      <c r="A26" s="2">
        <v>25.0</v>
      </c>
      <c r="B26" s="91">
        <v>45194.0</v>
      </c>
      <c r="C26" s="111">
        <f>325</f>
        <v>325</v>
      </c>
      <c r="D26" s="111">
        <v>0.0</v>
      </c>
      <c r="E26" s="111">
        <v>0.0</v>
      </c>
      <c r="F26" s="111">
        <v>0.0</v>
      </c>
      <c r="G26" s="111" t="str">
        <f>#REF!</f>
        <v>#REF!</v>
      </c>
      <c r="H26" s="96" t="str">
        <f t="shared" si="2"/>
        <v>#REF!</v>
      </c>
    </row>
    <row r="27">
      <c r="A27" s="2">
        <v>26.0</v>
      </c>
      <c r="B27" s="91">
        <v>45195.0</v>
      </c>
      <c r="C27" s="111">
        <f>73+700.7</f>
        <v>773.7</v>
      </c>
      <c r="D27" s="111">
        <v>0.0</v>
      </c>
      <c r="E27" s="111">
        <v>0.0</v>
      </c>
      <c r="F27" s="111">
        <v>0.0</v>
      </c>
      <c r="G27" s="111">
        <f>87.49+94.37</f>
        <v>181.86</v>
      </c>
      <c r="H27" s="96">
        <f t="shared" si="2"/>
        <v>955.56</v>
      </c>
    </row>
    <row r="28">
      <c r="A28" s="2">
        <v>27.0</v>
      </c>
      <c r="B28" s="91">
        <v>45196.0</v>
      </c>
      <c r="C28" s="111">
        <v>0.0</v>
      </c>
      <c r="D28" s="111">
        <v>0.0</v>
      </c>
      <c r="E28" s="111">
        <v>0.0</v>
      </c>
      <c r="F28" s="111">
        <v>0.0</v>
      </c>
      <c r="G28" s="111">
        <f>98.36</f>
        <v>98.36</v>
      </c>
      <c r="H28" s="96">
        <f t="shared" si="2"/>
        <v>98.36</v>
      </c>
    </row>
    <row r="29">
      <c r="A29" s="2">
        <v>28.0</v>
      </c>
      <c r="B29" s="91">
        <v>45197.0</v>
      </c>
      <c r="C29" s="111">
        <f>39.25</f>
        <v>39.25</v>
      </c>
      <c r="D29" s="111">
        <v>0.0</v>
      </c>
      <c r="E29" s="111">
        <v>0.0</v>
      </c>
      <c r="F29" s="111">
        <v>0.0</v>
      </c>
      <c r="G29" s="111" t="str">
        <f>#REF!</f>
        <v>#REF!</v>
      </c>
      <c r="H29" s="96" t="str">
        <f t="shared" si="2"/>
        <v>#REF!</v>
      </c>
    </row>
    <row r="30">
      <c r="A30" s="2">
        <v>29.0</v>
      </c>
      <c r="B30" s="91">
        <v>45198.0</v>
      </c>
      <c r="C30" s="111">
        <f>100</f>
        <v>100</v>
      </c>
      <c r="D30" s="111">
        <v>0.0</v>
      </c>
      <c r="E30" s="111">
        <v>0.0</v>
      </c>
      <c r="F30" s="111">
        <v>0.0</v>
      </c>
      <c r="G30" s="111">
        <f>96</f>
        <v>96</v>
      </c>
      <c r="H30" s="96">
        <f t="shared" si="2"/>
        <v>196</v>
      </c>
    </row>
    <row r="31">
      <c r="A31" s="2">
        <v>30.0</v>
      </c>
      <c r="B31" s="91">
        <v>45199.0</v>
      </c>
      <c r="C31" s="111">
        <f>301.58+41.5</f>
        <v>343.08</v>
      </c>
      <c r="D31" s="111">
        <f>73.45</f>
        <v>73.45</v>
      </c>
      <c r="E31" s="111">
        <v>0.0</v>
      </c>
      <c r="F31" s="111">
        <v>0.0</v>
      </c>
      <c r="G31" s="111" t="str">
        <f>#REF!</f>
        <v>#REF!</v>
      </c>
      <c r="H31" s="96" t="str">
        <f t="shared" si="2"/>
        <v>#REF!</v>
      </c>
    </row>
  </sheetData>
  <mergeCells count="1">
    <mergeCell ref="J11:K11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</cols>
  <sheetData>
    <row r="1">
      <c r="B1" s="106" t="s">
        <v>60</v>
      </c>
      <c r="C1" s="107" t="s">
        <v>35</v>
      </c>
      <c r="D1" s="108" t="s">
        <v>61</v>
      </c>
      <c r="E1" s="108" t="s">
        <v>62</v>
      </c>
      <c r="F1" s="108" t="s">
        <v>40</v>
      </c>
      <c r="G1" s="108" t="s">
        <v>66</v>
      </c>
      <c r="H1" s="109" t="s">
        <v>67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A2" s="2">
        <v>1.0</v>
      </c>
      <c r="B2" s="91">
        <v>45200.0</v>
      </c>
      <c r="C2" s="111">
        <f>121.33+93+117</f>
        <v>331.33</v>
      </c>
      <c r="D2" s="111">
        <v>0.0</v>
      </c>
      <c r="E2" s="111">
        <v>0.0</v>
      </c>
      <c r="F2" s="111">
        <v>0.0</v>
      </c>
      <c r="G2" s="111" t="str">
        <f>#REF!+#REF!</f>
        <v>#REF!</v>
      </c>
      <c r="H2" s="96" t="str">
        <f t="shared" ref="H2:H32" si="2">SUM(C2:G2)</f>
        <v>#REF!</v>
      </c>
      <c r="I2" s="112">
        <f>+AVERAGE(C2:C31)</f>
        <v>66.182</v>
      </c>
      <c r="J2" s="113" t="str">
        <f>+N2/A29</f>
        <v>#REF!</v>
      </c>
      <c r="K2" s="114">
        <f t="shared" ref="K2:L2" si="1">+SUM(C2:C31)</f>
        <v>1985.46</v>
      </c>
      <c r="L2" s="113">
        <f t="shared" si="1"/>
        <v>0</v>
      </c>
      <c r="M2" s="113" t="str">
        <f>+SUM(G2:G31)</f>
        <v>#REF!</v>
      </c>
      <c r="N2" s="115" t="str">
        <f>+SUM(C2:G31)</f>
        <v>#REF!</v>
      </c>
    </row>
    <row r="3">
      <c r="A3" s="2">
        <v>2.0</v>
      </c>
      <c r="B3" s="91">
        <v>45201.0</v>
      </c>
      <c r="C3" s="111">
        <v>0.0</v>
      </c>
      <c r="D3" s="111">
        <v>0.0</v>
      </c>
      <c r="E3" s="111">
        <v>0.0</v>
      </c>
      <c r="F3" s="111">
        <v>0.0</v>
      </c>
      <c r="G3" s="111">
        <f>13.97</f>
        <v>13.97</v>
      </c>
      <c r="H3" s="96">
        <f t="shared" si="2"/>
        <v>13.97</v>
      </c>
      <c r="N3" s="105"/>
    </row>
    <row r="4">
      <c r="A4" s="2">
        <v>3.0</v>
      </c>
      <c r="B4" s="91">
        <v>45202.0</v>
      </c>
      <c r="C4" s="111">
        <f>135+216.85</f>
        <v>351.85</v>
      </c>
      <c r="D4" s="111">
        <v>0.0</v>
      </c>
      <c r="E4" s="111">
        <v>0.0</v>
      </c>
      <c r="F4" s="111">
        <v>0.0</v>
      </c>
      <c r="G4" s="111" t="str">
        <f>#REF!+#REF!</f>
        <v>#REF!</v>
      </c>
      <c r="H4" s="96" t="str">
        <f t="shared" si="2"/>
        <v>#REF!</v>
      </c>
    </row>
    <row r="5">
      <c r="A5" s="2">
        <v>4.0</v>
      </c>
      <c r="B5" s="91">
        <v>45203.0</v>
      </c>
      <c r="C5" s="111">
        <f>244.36+135+55+135.16</f>
        <v>569.52</v>
      </c>
      <c r="D5" s="111">
        <v>0.0</v>
      </c>
      <c r="E5" s="111">
        <v>0.0</v>
      </c>
      <c r="F5" s="111">
        <v>0.0</v>
      </c>
      <c r="G5" s="111" t="str">
        <f>583.11+#REF!+167.9+#REF!+#REF!</f>
        <v>#REF!</v>
      </c>
      <c r="H5" s="96" t="str">
        <f t="shared" si="2"/>
        <v>#REF!</v>
      </c>
    </row>
    <row r="6">
      <c r="A6" s="2">
        <v>5.0</v>
      </c>
      <c r="B6" s="91">
        <v>45204.0</v>
      </c>
      <c r="C6" s="111">
        <f>73+134.34</f>
        <v>207.34</v>
      </c>
      <c r="D6" s="111">
        <v>0.0</v>
      </c>
      <c r="E6" s="111">
        <v>0.0</v>
      </c>
      <c r="F6" s="111">
        <v>0.0</v>
      </c>
      <c r="G6" s="111">
        <f>39</f>
        <v>39</v>
      </c>
      <c r="H6" s="96">
        <f t="shared" si="2"/>
        <v>246.34</v>
      </c>
    </row>
    <row r="7">
      <c r="A7" s="2">
        <v>6.0</v>
      </c>
      <c r="B7" s="91">
        <v>45205.0</v>
      </c>
      <c r="C7" s="111">
        <f>100</f>
        <v>100</v>
      </c>
      <c r="D7" s="111">
        <v>0.0</v>
      </c>
      <c r="E7" s="111">
        <v>0.0</v>
      </c>
      <c r="F7" s="111">
        <v>0.0</v>
      </c>
      <c r="G7" s="111">
        <v>0.0</v>
      </c>
      <c r="H7" s="96">
        <f t="shared" si="2"/>
        <v>100</v>
      </c>
    </row>
    <row r="8">
      <c r="A8" s="2">
        <v>7.0</v>
      </c>
      <c r="B8" s="91">
        <v>45206.0</v>
      </c>
      <c r="C8" s="111">
        <f>46.72+116+140</f>
        <v>302.72</v>
      </c>
      <c r="D8" s="111">
        <v>0.0</v>
      </c>
      <c r="E8" s="111">
        <v>0.0</v>
      </c>
      <c r="F8" s="111">
        <v>0.0</v>
      </c>
      <c r="G8" s="111" t="str">
        <f>#REF!+#REF!</f>
        <v>#REF!</v>
      </c>
      <c r="H8" s="96" t="str">
        <f t="shared" si="2"/>
        <v>#REF!</v>
      </c>
    </row>
    <row r="9">
      <c r="A9" s="2">
        <v>8.0</v>
      </c>
      <c r="B9" s="91">
        <v>45207.0</v>
      </c>
      <c r="C9" s="111">
        <f>122.7</f>
        <v>122.7</v>
      </c>
      <c r="D9" s="111">
        <v>0.0</v>
      </c>
      <c r="E9" s="111">
        <v>0.0</v>
      </c>
      <c r="F9" s="111">
        <v>0.0</v>
      </c>
      <c r="G9" s="111" t="str">
        <f>350+#REF!</f>
        <v>#REF!</v>
      </c>
      <c r="H9" s="96" t="str">
        <f t="shared" si="2"/>
        <v>#REF!</v>
      </c>
      <c r="J9" s="105"/>
    </row>
    <row r="10">
      <c r="A10" s="2">
        <v>9.0</v>
      </c>
      <c r="B10" s="91">
        <v>45208.0</v>
      </c>
      <c r="C10" s="111">
        <v>0.0</v>
      </c>
      <c r="D10" s="111">
        <v>0.0</v>
      </c>
      <c r="E10" s="111">
        <v>0.0</v>
      </c>
      <c r="F10" s="111">
        <v>0.0</v>
      </c>
      <c r="G10" s="111">
        <v>0.0</v>
      </c>
      <c r="H10" s="96">
        <f t="shared" si="2"/>
        <v>0</v>
      </c>
    </row>
    <row r="11">
      <c r="A11" s="2">
        <v>10.0</v>
      </c>
      <c r="B11" s="91">
        <v>45209.0</v>
      </c>
      <c r="C11" s="111">
        <v>0.0</v>
      </c>
      <c r="D11" s="111">
        <v>0.0</v>
      </c>
      <c r="E11" s="111">
        <v>0.0</v>
      </c>
      <c r="F11" s="111">
        <v>0.0</v>
      </c>
      <c r="G11" s="111">
        <v>0.0</v>
      </c>
      <c r="H11" s="96">
        <f t="shared" si="2"/>
        <v>0</v>
      </c>
      <c r="J11" s="154" t="s">
        <v>78</v>
      </c>
      <c r="K11" s="155"/>
      <c r="L11" s="119"/>
    </row>
    <row r="12">
      <c r="A12" s="2">
        <v>11.0</v>
      </c>
      <c r="B12" s="91">
        <v>45210.0</v>
      </c>
      <c r="C12" s="111">
        <v>0.0</v>
      </c>
      <c r="D12" s="111">
        <v>0.0</v>
      </c>
      <c r="E12" s="111">
        <v>0.0</v>
      </c>
      <c r="F12" s="111">
        <v>0.0</v>
      </c>
      <c r="G12" s="111">
        <v>0.0</v>
      </c>
      <c r="H12" s="96">
        <f t="shared" si="2"/>
        <v>0</v>
      </c>
      <c r="J12" s="156" t="s">
        <v>22</v>
      </c>
      <c r="K12" s="157" t="s">
        <v>86</v>
      </c>
      <c r="L12" s="157" t="s">
        <v>87</v>
      </c>
    </row>
    <row r="13">
      <c r="A13" s="2">
        <v>12.0</v>
      </c>
      <c r="B13" s="91">
        <v>45211.0</v>
      </c>
      <c r="C13" s="111">
        <v>0.0</v>
      </c>
      <c r="D13" s="111">
        <v>0.0</v>
      </c>
      <c r="E13" s="111">
        <v>0.0</v>
      </c>
      <c r="F13" s="111">
        <v>0.0</v>
      </c>
      <c r="G13" s="111">
        <v>0.0</v>
      </c>
      <c r="H13" s="96">
        <f t="shared" si="2"/>
        <v>0</v>
      </c>
      <c r="J13" s="158" t="str">
        <f>N2</f>
        <v>#REF!</v>
      </c>
      <c r="K13" s="159">
        <v>1700.0</v>
      </c>
      <c r="L13" s="159">
        <v>700.0</v>
      </c>
    </row>
    <row r="14">
      <c r="A14" s="2">
        <v>13.0</v>
      </c>
      <c r="B14" s="91">
        <v>45212.0</v>
      </c>
      <c r="C14" s="111">
        <v>0.0</v>
      </c>
      <c r="D14" s="111">
        <v>0.0</v>
      </c>
      <c r="E14" s="111">
        <v>0.0</v>
      </c>
      <c r="F14" s="111">
        <v>0.0</v>
      </c>
      <c r="G14" s="111">
        <v>0.0</v>
      </c>
      <c r="H14" s="96">
        <f t="shared" si="2"/>
        <v>0</v>
      </c>
      <c r="J14" s="160" t="s">
        <v>81</v>
      </c>
      <c r="K14" s="160" t="str">
        <f>SUM(J13:K13)</f>
        <v>#REF!</v>
      </c>
      <c r="L14" s="161"/>
    </row>
    <row r="15">
      <c r="A15" s="2">
        <v>14.0</v>
      </c>
      <c r="B15" s="91">
        <v>45213.0</v>
      </c>
      <c r="C15" s="111">
        <v>0.0</v>
      </c>
      <c r="D15" s="111">
        <v>0.0</v>
      </c>
      <c r="E15" s="111">
        <v>0.0</v>
      </c>
      <c r="F15" s="111">
        <v>0.0</v>
      </c>
      <c r="G15" s="111">
        <v>0.0</v>
      </c>
      <c r="H15" s="96">
        <f t="shared" si="2"/>
        <v>0</v>
      </c>
    </row>
    <row r="16">
      <c r="A16" s="2">
        <v>15.0</v>
      </c>
      <c r="B16" s="91">
        <v>45214.0</v>
      </c>
      <c r="C16" s="111">
        <v>0.0</v>
      </c>
      <c r="D16" s="111">
        <v>0.0</v>
      </c>
      <c r="E16" s="111">
        <v>0.0</v>
      </c>
      <c r="F16" s="111">
        <v>0.0</v>
      </c>
      <c r="G16" s="111">
        <v>0.0</v>
      </c>
      <c r="H16" s="96">
        <f t="shared" si="2"/>
        <v>0</v>
      </c>
    </row>
    <row r="17">
      <c r="A17" s="2">
        <v>16.0</v>
      </c>
      <c r="B17" s="91">
        <v>45215.0</v>
      </c>
      <c r="C17" s="111">
        <v>0.0</v>
      </c>
      <c r="D17" s="111">
        <v>0.0</v>
      </c>
      <c r="E17" s="111">
        <v>0.0</v>
      </c>
      <c r="F17" s="111">
        <v>0.0</v>
      </c>
      <c r="G17" s="111">
        <v>0.0</v>
      </c>
      <c r="H17" s="96">
        <f t="shared" si="2"/>
        <v>0</v>
      </c>
    </row>
    <row r="18">
      <c r="A18" s="2">
        <v>17.0</v>
      </c>
      <c r="B18" s="91">
        <v>45216.0</v>
      </c>
      <c r="C18" s="111">
        <v>0.0</v>
      </c>
      <c r="D18" s="111">
        <v>0.0</v>
      </c>
      <c r="E18" s="111">
        <v>0.0</v>
      </c>
      <c r="F18" s="111">
        <v>0.0</v>
      </c>
      <c r="G18" s="111">
        <v>0.0</v>
      </c>
      <c r="H18" s="96">
        <f t="shared" si="2"/>
        <v>0</v>
      </c>
    </row>
    <row r="19">
      <c r="A19" s="2">
        <v>18.0</v>
      </c>
      <c r="B19" s="91">
        <v>45217.0</v>
      </c>
      <c r="C19" s="111">
        <v>0.0</v>
      </c>
      <c r="D19" s="111">
        <v>0.0</v>
      </c>
      <c r="E19" s="111">
        <v>0.0</v>
      </c>
      <c r="F19" s="111">
        <v>0.0</v>
      </c>
      <c r="G19" s="111">
        <v>0.0</v>
      </c>
      <c r="H19" s="96">
        <f t="shared" si="2"/>
        <v>0</v>
      </c>
    </row>
    <row r="20">
      <c r="A20" s="2">
        <v>19.0</v>
      </c>
      <c r="B20" s="91">
        <v>45218.0</v>
      </c>
      <c r="C20" s="111">
        <v>0.0</v>
      </c>
      <c r="D20" s="111">
        <v>0.0</v>
      </c>
      <c r="E20" s="111">
        <v>0.0</v>
      </c>
      <c r="F20" s="111">
        <v>0.0</v>
      </c>
      <c r="G20" s="111">
        <v>0.0</v>
      </c>
      <c r="H20" s="96">
        <f t="shared" si="2"/>
        <v>0</v>
      </c>
    </row>
    <row r="21">
      <c r="A21" s="2">
        <v>20.0</v>
      </c>
      <c r="B21" s="91">
        <v>45219.0</v>
      </c>
      <c r="C21" s="111">
        <v>0.0</v>
      </c>
      <c r="D21" s="111">
        <v>0.0</v>
      </c>
      <c r="E21" s="111">
        <v>0.0</v>
      </c>
      <c r="F21" s="111">
        <v>0.0</v>
      </c>
      <c r="G21" s="111">
        <v>0.0</v>
      </c>
      <c r="H21" s="96">
        <f t="shared" si="2"/>
        <v>0</v>
      </c>
    </row>
    <row r="22">
      <c r="A22" s="2">
        <v>21.0</v>
      </c>
      <c r="B22" s="91">
        <v>45220.0</v>
      </c>
      <c r="C22" s="111">
        <v>0.0</v>
      </c>
      <c r="D22" s="111">
        <v>0.0</v>
      </c>
      <c r="E22" s="111">
        <v>0.0</v>
      </c>
      <c r="F22" s="111">
        <v>0.0</v>
      </c>
      <c r="G22" s="111">
        <v>0.0</v>
      </c>
      <c r="H22" s="96">
        <f t="shared" si="2"/>
        <v>0</v>
      </c>
    </row>
    <row r="23">
      <c r="A23" s="2">
        <v>22.0</v>
      </c>
      <c r="B23" s="91">
        <v>45221.0</v>
      </c>
      <c r="C23" s="111">
        <v>0.0</v>
      </c>
      <c r="D23" s="111">
        <v>0.0</v>
      </c>
      <c r="E23" s="111">
        <v>0.0</v>
      </c>
      <c r="F23" s="111">
        <v>0.0</v>
      </c>
      <c r="G23" s="111">
        <v>0.0</v>
      </c>
      <c r="H23" s="96">
        <f t="shared" si="2"/>
        <v>0</v>
      </c>
    </row>
    <row r="24">
      <c r="A24" s="2">
        <v>23.0</v>
      </c>
      <c r="B24" s="91">
        <v>45222.0</v>
      </c>
      <c r="C24" s="111">
        <v>0.0</v>
      </c>
      <c r="D24" s="111">
        <v>0.0</v>
      </c>
      <c r="E24" s="111">
        <v>0.0</v>
      </c>
      <c r="F24" s="111">
        <v>0.0</v>
      </c>
      <c r="G24" s="111">
        <v>0.0</v>
      </c>
      <c r="H24" s="96">
        <f t="shared" si="2"/>
        <v>0</v>
      </c>
    </row>
    <row r="25">
      <c r="A25" s="2">
        <v>24.0</v>
      </c>
      <c r="B25" s="91">
        <v>45223.0</v>
      </c>
      <c r="C25" s="111">
        <v>0.0</v>
      </c>
      <c r="D25" s="111">
        <v>0.0</v>
      </c>
      <c r="E25" s="111">
        <v>0.0</v>
      </c>
      <c r="F25" s="111">
        <v>0.0</v>
      </c>
      <c r="G25" s="111">
        <v>0.0</v>
      </c>
      <c r="H25" s="96">
        <f t="shared" si="2"/>
        <v>0</v>
      </c>
    </row>
    <row r="26">
      <c r="A26" s="2">
        <v>25.0</v>
      </c>
      <c r="B26" s="91">
        <v>45224.0</v>
      </c>
      <c r="C26" s="111">
        <v>0.0</v>
      </c>
      <c r="D26" s="111">
        <v>0.0</v>
      </c>
      <c r="E26" s="111">
        <v>0.0</v>
      </c>
      <c r="F26" s="111">
        <v>0.0</v>
      </c>
      <c r="G26" s="111">
        <v>0.0</v>
      </c>
      <c r="H26" s="96">
        <f t="shared" si="2"/>
        <v>0</v>
      </c>
    </row>
    <row r="27">
      <c r="A27" s="2">
        <v>26.0</v>
      </c>
      <c r="B27" s="91">
        <v>45225.0</v>
      </c>
      <c r="C27" s="111">
        <v>0.0</v>
      </c>
      <c r="D27" s="111">
        <v>0.0</v>
      </c>
      <c r="E27" s="111">
        <v>0.0</v>
      </c>
      <c r="F27" s="111">
        <v>0.0</v>
      </c>
      <c r="G27" s="111">
        <v>0.0</v>
      </c>
      <c r="H27" s="96">
        <f t="shared" si="2"/>
        <v>0</v>
      </c>
    </row>
    <row r="28">
      <c r="A28" s="2">
        <v>27.0</v>
      </c>
      <c r="B28" s="91">
        <v>45226.0</v>
      </c>
      <c r="C28" s="111">
        <v>0.0</v>
      </c>
      <c r="D28" s="111">
        <v>0.0</v>
      </c>
      <c r="E28" s="111">
        <v>0.0</v>
      </c>
      <c r="F28" s="111">
        <v>0.0</v>
      </c>
      <c r="G28" s="111">
        <v>0.0</v>
      </c>
      <c r="H28" s="96">
        <f t="shared" si="2"/>
        <v>0</v>
      </c>
    </row>
    <row r="29">
      <c r="A29" s="2">
        <v>28.0</v>
      </c>
      <c r="B29" s="91">
        <v>45227.0</v>
      </c>
      <c r="C29" s="111">
        <v>0.0</v>
      </c>
      <c r="D29" s="111">
        <v>0.0</v>
      </c>
      <c r="E29" s="111">
        <v>0.0</v>
      </c>
      <c r="F29" s="111">
        <v>0.0</v>
      </c>
      <c r="G29" s="111">
        <v>0.0</v>
      </c>
      <c r="H29" s="96">
        <f t="shared" si="2"/>
        <v>0</v>
      </c>
    </row>
    <row r="30">
      <c r="A30" s="2">
        <v>29.0</v>
      </c>
      <c r="B30" s="91">
        <v>45228.0</v>
      </c>
      <c r="C30" s="111">
        <v>0.0</v>
      </c>
      <c r="D30" s="111">
        <v>0.0</v>
      </c>
      <c r="E30" s="111">
        <v>0.0</v>
      </c>
      <c r="F30" s="111">
        <v>0.0</v>
      </c>
      <c r="G30" s="111">
        <v>0.0</v>
      </c>
      <c r="H30" s="96">
        <f t="shared" si="2"/>
        <v>0</v>
      </c>
    </row>
    <row r="31">
      <c r="A31" s="2">
        <v>30.0</v>
      </c>
      <c r="B31" s="91">
        <v>45229.0</v>
      </c>
      <c r="C31" s="111">
        <v>0.0</v>
      </c>
      <c r="D31" s="111">
        <v>0.0</v>
      </c>
      <c r="E31" s="111">
        <v>0.0</v>
      </c>
      <c r="F31" s="111">
        <v>0.0</v>
      </c>
      <c r="G31" s="111">
        <v>0.0</v>
      </c>
      <c r="H31" s="96">
        <f t="shared" si="2"/>
        <v>0</v>
      </c>
    </row>
    <row r="32">
      <c r="A32" s="2">
        <v>31.0</v>
      </c>
      <c r="B32" s="91">
        <v>45230.0</v>
      </c>
      <c r="C32" s="111">
        <v>0.0</v>
      </c>
      <c r="D32" s="111">
        <v>0.0</v>
      </c>
      <c r="E32" s="111">
        <v>0.0</v>
      </c>
      <c r="F32" s="111">
        <v>0.0</v>
      </c>
      <c r="G32" s="111">
        <v>0.0</v>
      </c>
      <c r="H32" s="96">
        <f t="shared" si="2"/>
        <v>0</v>
      </c>
    </row>
  </sheetData>
  <mergeCells count="1">
    <mergeCell ref="J11:K1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.29"/>
    <col customWidth="1" min="3" max="14" width="10.14"/>
  </cols>
  <sheetData>
    <row r="1">
      <c r="C1" s="106" t="s">
        <v>60</v>
      </c>
      <c r="D1" s="107" t="s">
        <v>35</v>
      </c>
      <c r="E1" s="108" t="s">
        <v>61</v>
      </c>
      <c r="F1" s="108" t="s">
        <v>62</v>
      </c>
      <c r="G1" s="108" t="s">
        <v>40</v>
      </c>
      <c r="H1" s="108" t="s">
        <v>66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B2" s="2">
        <v>1.0</v>
      </c>
      <c r="C2" s="91">
        <v>45017.0</v>
      </c>
      <c r="D2" s="111">
        <f>50+268+210</f>
        <v>528</v>
      </c>
      <c r="E2" s="111">
        <v>0.0</v>
      </c>
      <c r="F2" s="111">
        <v>0.0</v>
      </c>
      <c r="G2" s="111">
        <v>0.0</v>
      </c>
      <c r="H2" s="111">
        <v>0.0</v>
      </c>
      <c r="I2" s="112">
        <f>+AVERAGE(D2:D31)</f>
        <v>133.9526667</v>
      </c>
      <c r="J2" s="113">
        <f>+N2/B29</f>
        <v>302.9347619</v>
      </c>
      <c r="K2" s="114">
        <f t="shared" ref="K2:L2" si="1">+SUM(D2:D31)</f>
        <v>4018.58</v>
      </c>
      <c r="L2" s="113">
        <f t="shared" si="1"/>
        <v>50</v>
      </c>
      <c r="M2" s="113">
        <f>+SUM(H2:H31)</f>
        <v>4251.843333</v>
      </c>
      <c r="N2" s="115">
        <f>+SUM(D2:H31)</f>
        <v>8482.173333</v>
      </c>
    </row>
    <row r="3">
      <c r="B3" s="2">
        <v>2.0</v>
      </c>
      <c r="C3" s="91">
        <v>45018.0</v>
      </c>
      <c r="D3" s="111">
        <f>86.99+92.34</f>
        <v>179.33</v>
      </c>
      <c r="E3" s="111">
        <v>0.0</v>
      </c>
      <c r="F3" s="111">
        <v>0.0</v>
      </c>
      <c r="G3" s="111">
        <v>0.0</v>
      </c>
      <c r="H3" s="111">
        <v>0.0</v>
      </c>
      <c r="N3" s="105"/>
    </row>
    <row r="4">
      <c r="B4" s="2">
        <v>3.0</v>
      </c>
      <c r="C4" s="91">
        <v>45019.0</v>
      </c>
      <c r="D4" s="111">
        <f>30</f>
        <v>30</v>
      </c>
      <c r="E4" s="111">
        <f>50</f>
        <v>50</v>
      </c>
      <c r="F4" s="111">
        <v>0.0</v>
      </c>
      <c r="G4" s="111">
        <v>0.0</v>
      </c>
      <c r="H4" s="111">
        <f>297.93</f>
        <v>297.93</v>
      </c>
    </row>
    <row r="5">
      <c r="B5" s="2">
        <v>4.0</v>
      </c>
      <c r="C5" s="91">
        <v>45020.0</v>
      </c>
      <c r="D5" s="111">
        <f>62.5+118.24</f>
        <v>180.74</v>
      </c>
      <c r="E5" s="111">
        <v>0.0</v>
      </c>
      <c r="F5" s="111">
        <v>0.0</v>
      </c>
      <c r="G5" s="111">
        <v>0.0</v>
      </c>
      <c r="H5" s="111">
        <v>0.0</v>
      </c>
    </row>
    <row r="6">
      <c r="B6" s="2">
        <v>5.0</v>
      </c>
      <c r="C6" s="91">
        <v>45021.0</v>
      </c>
      <c r="D6" s="111">
        <v>0.0</v>
      </c>
      <c r="E6" s="111">
        <v>0.0</v>
      </c>
      <c r="F6" s="111">
        <v>0.0</v>
      </c>
      <c r="G6" s="111">
        <v>0.0</v>
      </c>
      <c r="H6" s="111">
        <f>7.9+103.33</f>
        <v>111.23</v>
      </c>
    </row>
    <row r="7">
      <c r="B7" s="2">
        <v>6.0</v>
      </c>
      <c r="C7" s="91">
        <v>45022.0</v>
      </c>
      <c r="D7" s="111">
        <f>750</f>
        <v>750</v>
      </c>
      <c r="E7" s="111">
        <v>0.0</v>
      </c>
      <c r="F7" s="111">
        <v>0.0</v>
      </c>
      <c r="G7" s="111">
        <f>44+117.75</f>
        <v>161.75</v>
      </c>
      <c r="H7" s="111">
        <f>35+833.33</f>
        <v>868.33</v>
      </c>
    </row>
    <row r="8">
      <c r="B8" s="2">
        <v>7.0</v>
      </c>
      <c r="C8" s="91">
        <v>45023.0</v>
      </c>
      <c r="D8" s="111">
        <v>0.0</v>
      </c>
      <c r="E8" s="111">
        <v>0.0</v>
      </c>
      <c r="F8" s="111">
        <v>0.0</v>
      </c>
      <c r="G8" s="111">
        <v>0.0</v>
      </c>
      <c r="H8" s="111">
        <f>100+388.48+56.79+5.68+8.52</f>
        <v>559.47</v>
      </c>
    </row>
    <row r="9">
      <c r="B9" s="2">
        <v>8.0</v>
      </c>
      <c r="C9" s="91">
        <v>45024.0</v>
      </c>
      <c r="D9" s="111">
        <v>0.0</v>
      </c>
      <c r="E9" s="111">
        <v>0.0</v>
      </c>
      <c r="F9" s="111">
        <v>0.0</v>
      </c>
      <c r="G9" s="111">
        <v>0.0</v>
      </c>
      <c r="H9" s="111">
        <f>285.57+14.38+1.44+2.16+20</f>
        <v>323.55</v>
      </c>
      <c r="J9" s="105"/>
    </row>
    <row r="10">
      <c r="B10" s="2">
        <v>9.0</v>
      </c>
      <c r="C10" s="91">
        <v>45025.0</v>
      </c>
      <c r="D10" s="111">
        <f>18.94</f>
        <v>18.94</v>
      </c>
      <c r="E10" s="111">
        <v>0.0</v>
      </c>
      <c r="F10" s="111">
        <v>0.0</v>
      </c>
      <c r="G10" s="111">
        <v>0.0</v>
      </c>
      <c r="H10" s="111">
        <f>64</f>
        <v>64</v>
      </c>
    </row>
    <row r="11">
      <c r="B11" s="2">
        <v>10.0</v>
      </c>
      <c r="C11" s="91">
        <v>45026.0</v>
      </c>
      <c r="D11" s="111">
        <f>63</f>
        <v>63</v>
      </c>
      <c r="E11" s="111">
        <v>0.0</v>
      </c>
      <c r="F11" s="111">
        <v>0.0</v>
      </c>
      <c r="G11" s="111">
        <v>0.0</v>
      </c>
      <c r="H11" s="111">
        <v>0.0</v>
      </c>
      <c r="J11" s="140" t="s">
        <v>78</v>
      </c>
      <c r="K11" s="141"/>
      <c r="L11" s="142"/>
    </row>
    <row r="12">
      <c r="B12" s="2">
        <v>11.0</v>
      </c>
      <c r="C12" s="91">
        <v>45027.0</v>
      </c>
      <c r="D12" s="111">
        <f>32.87+134.1</f>
        <v>166.97</v>
      </c>
      <c r="E12" s="111">
        <v>0.0</v>
      </c>
      <c r="F12" s="111">
        <v>0.0</v>
      </c>
      <c r="G12" s="111">
        <v>0.0</v>
      </c>
      <c r="H12" s="111">
        <f>205.25+85.91</f>
        <v>291.16</v>
      </c>
      <c r="J12" s="143" t="s">
        <v>22</v>
      </c>
      <c r="K12" s="144" t="s">
        <v>85</v>
      </c>
      <c r="L12" s="145" t="s">
        <v>86</v>
      </c>
    </row>
    <row r="13">
      <c r="B13" s="2">
        <v>12.0</v>
      </c>
      <c r="C13" s="91">
        <v>45028.0</v>
      </c>
      <c r="D13" s="111">
        <f>110.99</f>
        <v>110.99</v>
      </c>
      <c r="E13" s="111">
        <v>0.0</v>
      </c>
      <c r="F13" s="111">
        <v>0.0</v>
      </c>
      <c r="G13" s="111">
        <v>0.0</v>
      </c>
      <c r="H13" s="111">
        <f>1000</f>
        <v>1000</v>
      </c>
      <c r="J13" s="146">
        <f>N2</f>
        <v>8482.173333</v>
      </c>
      <c r="K13" s="150">
        <f>12514.56+'MART-2023'!J13</f>
        <v>21201.61667</v>
      </c>
      <c r="L13" s="147">
        <v>0.0</v>
      </c>
    </row>
    <row r="14">
      <c r="B14" s="2">
        <v>13.0</v>
      </c>
      <c r="C14" s="91">
        <v>45029.0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J14" s="148" t="s">
        <v>81</v>
      </c>
      <c r="K14" s="149">
        <f>SUM(J13:L13)</f>
        <v>29683.79</v>
      </c>
      <c r="L14" s="142"/>
    </row>
    <row r="15">
      <c r="B15" s="2">
        <v>14.0</v>
      </c>
      <c r="C15" s="91">
        <v>45030.0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</row>
    <row r="16">
      <c r="B16" s="2">
        <v>15.0</v>
      </c>
      <c r="C16" s="91">
        <v>45031.0</v>
      </c>
      <c r="D16" s="111">
        <f>95.85+112.83</f>
        <v>208.68</v>
      </c>
      <c r="E16" s="111">
        <v>0.0</v>
      </c>
      <c r="F16" s="111">
        <v>0.0</v>
      </c>
      <c r="G16" s="111">
        <v>0.0</v>
      </c>
      <c r="H16" s="111">
        <v>0.0</v>
      </c>
    </row>
    <row r="17">
      <c r="B17" s="2">
        <v>16.0</v>
      </c>
      <c r="C17" s="91">
        <v>45032.0</v>
      </c>
      <c r="D17" s="111">
        <f>59.9</f>
        <v>59.9</v>
      </c>
      <c r="E17" s="111">
        <v>0.0</v>
      </c>
      <c r="F17" s="111">
        <v>0.0</v>
      </c>
      <c r="G17" s="111">
        <v>0.0</v>
      </c>
      <c r="H17" s="111">
        <f>71.99+76.5</f>
        <v>148.49</v>
      </c>
    </row>
    <row r="18">
      <c r="B18" s="2">
        <v>17.0</v>
      </c>
      <c r="C18" s="91">
        <v>45033.0</v>
      </c>
      <c r="D18" s="111">
        <f>97+200</f>
        <v>297</v>
      </c>
      <c r="E18" s="111">
        <v>0.0</v>
      </c>
      <c r="F18" s="111">
        <v>0.0</v>
      </c>
      <c r="G18" s="111">
        <v>0.0</v>
      </c>
      <c r="H18" s="111">
        <v>0.0</v>
      </c>
    </row>
    <row r="19">
      <c r="B19" s="2">
        <v>18.0</v>
      </c>
      <c r="C19" s="91">
        <v>45034.0</v>
      </c>
      <c r="D19" s="111">
        <f>30</f>
        <v>30</v>
      </c>
      <c r="E19" s="111">
        <v>0.0</v>
      </c>
      <c r="F19" s="111">
        <v>0.0</v>
      </c>
      <c r="G19" s="111">
        <v>0.0</v>
      </c>
      <c r="H19" s="111">
        <v>0.0</v>
      </c>
    </row>
    <row r="20">
      <c r="B20" s="2">
        <v>19.0</v>
      </c>
      <c r="C20" s="91">
        <v>45035.0</v>
      </c>
      <c r="D20" s="111">
        <f>52.96</f>
        <v>52.96</v>
      </c>
      <c r="E20" s="111">
        <v>0.0</v>
      </c>
      <c r="F20" s="111">
        <v>0.0</v>
      </c>
      <c r="G20" s="111">
        <v>0.0</v>
      </c>
      <c r="H20" s="111">
        <f>85/3</f>
        <v>28.33333333</v>
      </c>
    </row>
    <row r="21">
      <c r="B21" s="2">
        <v>20.0</v>
      </c>
      <c r="C21" s="91">
        <v>45036.0</v>
      </c>
      <c r="D21" s="111">
        <f>144.82+95.75</f>
        <v>240.57</v>
      </c>
      <c r="E21" s="111">
        <v>0.0</v>
      </c>
      <c r="F21" s="111">
        <v>0.0</v>
      </c>
      <c r="G21" s="111">
        <v>0.0</v>
      </c>
      <c r="H21" s="111">
        <f>443.21+10.99+1.1+1.65+14.9</f>
        <v>471.85</v>
      </c>
    </row>
    <row r="22">
      <c r="B22" s="2">
        <v>21.0</v>
      </c>
      <c r="C22" s="91">
        <v>45037.0</v>
      </c>
      <c r="D22" s="111">
        <f>85</f>
        <v>85</v>
      </c>
      <c r="E22" s="111">
        <v>0.0</v>
      </c>
      <c r="F22" s="111">
        <v>0.0</v>
      </c>
      <c r="G22" s="111">
        <v>0.0</v>
      </c>
      <c r="H22" s="111">
        <f>87.5</f>
        <v>87.5</v>
      </c>
    </row>
    <row r="23">
      <c r="B23" s="2">
        <v>22.0</v>
      </c>
      <c r="C23" s="91">
        <v>45038.0</v>
      </c>
      <c r="D23" s="111">
        <f>169.3</f>
        <v>169.3</v>
      </c>
      <c r="E23" s="111">
        <v>0.0</v>
      </c>
      <c r="F23" s="111">
        <v>0.0</v>
      </c>
      <c r="G23" s="111">
        <v>0.0</v>
      </c>
      <c r="H23" s="111">
        <v>0.0</v>
      </c>
    </row>
    <row r="24">
      <c r="B24" s="2">
        <v>23.0</v>
      </c>
      <c r="C24" s="91">
        <v>45039.0</v>
      </c>
      <c r="D24" s="111">
        <v>0.0</v>
      </c>
      <c r="E24" s="111">
        <v>0.0</v>
      </c>
      <c r="F24" s="111">
        <v>0.0</v>
      </c>
      <c r="G24" s="111">
        <v>0.0</v>
      </c>
      <c r="H24" s="111">
        <v>0.0</v>
      </c>
    </row>
    <row r="25">
      <c r="B25" s="2">
        <v>24.0</v>
      </c>
      <c r="C25" s="91">
        <v>45040.0</v>
      </c>
      <c r="D25" s="111">
        <f>99.95</f>
        <v>99.95</v>
      </c>
      <c r="E25" s="111">
        <v>0.0</v>
      </c>
      <c r="F25" s="111">
        <v>0.0</v>
      </c>
      <c r="G25" s="111">
        <v>0.0</v>
      </c>
      <c r="H25" s="111">
        <v>0.0</v>
      </c>
    </row>
    <row r="26">
      <c r="B26" s="2">
        <v>25.0</v>
      </c>
      <c r="C26" s="91">
        <v>45041.0</v>
      </c>
      <c r="D26" s="111">
        <f>117.3+165+17.95+45.5</f>
        <v>345.75</v>
      </c>
      <c r="E26" s="111">
        <v>0.0</v>
      </c>
      <c r="F26" s="111">
        <v>0.0</v>
      </c>
      <c r="G26" s="111">
        <v>0.0</v>
      </c>
      <c r="H26" s="111">
        <v>0.0</v>
      </c>
    </row>
    <row r="27">
      <c r="B27" s="2">
        <v>26.0</v>
      </c>
      <c r="C27" s="91">
        <v>45042.0</v>
      </c>
      <c r="D27" s="111">
        <f>51.6+100.82+90</f>
        <v>242.42</v>
      </c>
      <c r="E27" s="111">
        <v>0.0</v>
      </c>
      <c r="F27" s="111">
        <v>0.0</v>
      </c>
      <c r="G27" s="111">
        <v>0.0</v>
      </c>
      <c r="H27" s="111">
        <v>0.0</v>
      </c>
    </row>
    <row r="28">
      <c r="B28" s="2">
        <v>27.0</v>
      </c>
      <c r="C28" s="91">
        <v>45043.0</v>
      </c>
      <c r="D28" s="111">
        <f>53.18+61.9+30</f>
        <v>145.08</v>
      </c>
      <c r="E28" s="111">
        <v>0.0</v>
      </c>
      <c r="F28" s="111">
        <v>0.0</v>
      </c>
      <c r="G28" s="111">
        <v>0.0</v>
      </c>
      <c r="H28" s="111">
        <v>0.0</v>
      </c>
    </row>
    <row r="29">
      <c r="B29" s="2">
        <v>28.0</v>
      </c>
      <c r="C29" s="91">
        <v>45044.0</v>
      </c>
      <c r="D29" s="111">
        <f>14</f>
        <v>14</v>
      </c>
      <c r="E29" s="111">
        <v>0.0</v>
      </c>
      <c r="F29" s="111">
        <v>0.0</v>
      </c>
      <c r="G29" s="111">
        <v>0.0</v>
      </c>
      <c r="H29" s="111">
        <v>0.0</v>
      </c>
    </row>
    <row r="30">
      <c r="B30" s="2">
        <v>29.0</v>
      </c>
      <c r="C30" s="91">
        <v>45045.0</v>
      </c>
      <c r="D30" s="111">
        <v>0.0</v>
      </c>
      <c r="E30" s="111">
        <v>0.0</v>
      </c>
      <c r="F30" s="111">
        <v>0.0</v>
      </c>
      <c r="G30" s="111">
        <v>0.0</v>
      </c>
      <c r="H30" s="111">
        <v>0.0</v>
      </c>
    </row>
    <row r="31">
      <c r="B31" s="2">
        <v>30.0</v>
      </c>
      <c r="C31" s="91">
        <v>45046.0</v>
      </c>
      <c r="D31" s="111">
        <v>0.0</v>
      </c>
      <c r="E31" s="111">
        <v>0.0</v>
      </c>
      <c r="F31" s="111">
        <v>0.0</v>
      </c>
      <c r="G31" s="111">
        <v>0.0</v>
      </c>
      <c r="H31" s="111">
        <v>0.0</v>
      </c>
    </row>
    <row r="32">
      <c r="C32" s="162"/>
      <c r="D32" s="105"/>
      <c r="E32" s="105"/>
      <c r="F32" s="105"/>
      <c r="G32" s="105"/>
      <c r="H32" s="105"/>
    </row>
  </sheetData>
  <mergeCells count="2">
    <mergeCell ref="J11:L11"/>
    <mergeCell ref="K14:L14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.29"/>
    <col customWidth="1" min="3" max="3" width="10.14"/>
  </cols>
  <sheetData>
    <row r="1">
      <c r="C1" s="106" t="s">
        <v>60</v>
      </c>
      <c r="D1" s="107" t="s">
        <v>35</v>
      </c>
      <c r="E1" s="108" t="s">
        <v>61</v>
      </c>
      <c r="F1" s="108" t="s">
        <v>62</v>
      </c>
      <c r="G1" s="108" t="s">
        <v>40</v>
      </c>
      <c r="H1" s="108" t="s">
        <v>66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B2" s="2">
        <v>1.0</v>
      </c>
      <c r="C2" s="91">
        <v>44986.0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2">
        <f>+AVERAGE(D2:D31)</f>
        <v>174.2033333</v>
      </c>
      <c r="J2" s="113">
        <f>+N2/B29</f>
        <v>310.2520238</v>
      </c>
      <c r="K2" s="114">
        <f t="shared" ref="K2:L2" si="1">+SUM(D2:D31)</f>
        <v>5226.1</v>
      </c>
      <c r="L2" s="113">
        <f t="shared" si="1"/>
        <v>150</v>
      </c>
      <c r="M2" s="113">
        <f>+SUM(H2:H31)</f>
        <v>3148.956667</v>
      </c>
      <c r="N2" s="115">
        <f>+SUM(D2:H31)</f>
        <v>8687.056667</v>
      </c>
    </row>
    <row r="3">
      <c r="B3" s="2">
        <v>2.0</v>
      </c>
      <c r="C3" s="91">
        <v>44987.0</v>
      </c>
      <c r="D3" s="111">
        <f>70+113.5</f>
        <v>183.5</v>
      </c>
      <c r="E3" s="111">
        <f>100</f>
        <v>100</v>
      </c>
      <c r="F3" s="111">
        <v>0.0</v>
      </c>
      <c r="G3" s="111">
        <v>0.0</v>
      </c>
      <c r="H3" s="111">
        <f>6.49</f>
        <v>6.49</v>
      </c>
      <c r="N3" s="105"/>
    </row>
    <row r="4">
      <c r="B4" s="2">
        <v>3.0</v>
      </c>
      <c r="C4" s="91">
        <v>44988.0</v>
      </c>
      <c r="D4" s="111">
        <f>217+189.94</f>
        <v>406.94</v>
      </c>
      <c r="E4" s="111">
        <v>0.0</v>
      </c>
      <c r="F4" s="111">
        <v>0.0</v>
      </c>
      <c r="G4" s="111">
        <v>0.0</v>
      </c>
      <c r="H4" s="111">
        <f>82.99</f>
        <v>82.99</v>
      </c>
    </row>
    <row r="5">
      <c r="B5" s="2">
        <v>4.0</v>
      </c>
      <c r="C5" s="91">
        <v>44989.0</v>
      </c>
      <c r="D5" s="111">
        <v>0.0</v>
      </c>
      <c r="E5" s="111">
        <v>0.0</v>
      </c>
      <c r="F5" s="111">
        <v>0.0</v>
      </c>
      <c r="G5" s="111">
        <v>0.0</v>
      </c>
      <c r="H5" s="111">
        <v>0.0</v>
      </c>
    </row>
    <row r="6">
      <c r="B6" s="2">
        <v>5.0</v>
      </c>
      <c r="C6" s="91">
        <v>44990.0</v>
      </c>
      <c r="D6" s="111">
        <f>42.65+121.63</f>
        <v>164.28</v>
      </c>
      <c r="E6" s="111">
        <v>0.0</v>
      </c>
      <c r="F6" s="111">
        <v>0.0</v>
      </c>
      <c r="G6" s="111">
        <v>0.0</v>
      </c>
      <c r="H6" s="111">
        <f>103.33+7.9</f>
        <v>111.23</v>
      </c>
    </row>
    <row r="7">
      <c r="B7" s="2">
        <v>6.0</v>
      </c>
      <c r="C7" s="91">
        <v>44991.0</v>
      </c>
      <c r="D7" s="111">
        <f>94.5+14+54.62</f>
        <v>163.12</v>
      </c>
      <c r="E7" s="111">
        <v>0.0</v>
      </c>
      <c r="F7" s="111">
        <v>0.0</v>
      </c>
      <c r="G7" s="111">
        <v>0.0</v>
      </c>
      <c r="H7" s="111">
        <f>833.33</f>
        <v>833.33</v>
      </c>
    </row>
    <row r="8">
      <c r="B8" s="2">
        <v>7.0</v>
      </c>
      <c r="C8" s="91">
        <v>44992.0</v>
      </c>
      <c r="D8" s="111">
        <f>136.42+90+199.8</f>
        <v>426.22</v>
      </c>
      <c r="E8" s="111">
        <v>0.0</v>
      </c>
      <c r="F8" s="111">
        <v>0.0</v>
      </c>
      <c r="G8" s="111">
        <v>0.0</v>
      </c>
      <c r="H8" s="111">
        <f>382.6+71.75+7.17+10.76</f>
        <v>472.28</v>
      </c>
    </row>
    <row r="9">
      <c r="B9" s="2">
        <v>8.0</v>
      </c>
      <c r="C9" s="91">
        <v>44993.0</v>
      </c>
      <c r="D9" s="111">
        <f>36.5</f>
        <v>36.5</v>
      </c>
      <c r="E9" s="111">
        <v>0.0</v>
      </c>
      <c r="F9" s="111">
        <v>0.0</v>
      </c>
      <c r="G9" s="111">
        <v>0.0</v>
      </c>
      <c r="H9" s="111">
        <f>281.25+17.84+1.78+2.68</f>
        <v>303.55</v>
      </c>
      <c r="J9" s="105"/>
    </row>
    <row r="10">
      <c r="B10" s="2">
        <v>9.0</v>
      </c>
      <c r="C10" s="91">
        <v>44994.0</v>
      </c>
      <c r="D10" s="111">
        <v>0.0</v>
      </c>
      <c r="E10" s="111">
        <v>0.0</v>
      </c>
      <c r="F10" s="111">
        <v>0.0</v>
      </c>
      <c r="G10" s="111">
        <f>118+44</f>
        <v>162</v>
      </c>
      <c r="H10" s="111">
        <v>0.0</v>
      </c>
    </row>
    <row r="11">
      <c r="B11" s="2">
        <v>10.0</v>
      </c>
      <c r="C11" s="91">
        <v>44995.0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J11" s="140" t="s">
        <v>78</v>
      </c>
      <c r="K11" s="141"/>
      <c r="L11" s="142"/>
    </row>
    <row r="12">
      <c r="B12" s="2">
        <v>11.0</v>
      </c>
      <c r="C12" s="91">
        <v>44996.0</v>
      </c>
      <c r="D12" s="111">
        <f>109</f>
        <v>109</v>
      </c>
      <c r="E12" s="111">
        <v>0.0</v>
      </c>
      <c r="F12" s="111">
        <v>0.0</v>
      </c>
      <c r="G12" s="111">
        <v>0.0</v>
      </c>
      <c r="H12" s="111">
        <f>85.91</f>
        <v>85.91</v>
      </c>
      <c r="J12" s="143" t="s">
        <v>22</v>
      </c>
      <c r="K12" s="144" t="s">
        <v>85</v>
      </c>
      <c r="L12" s="145" t="s">
        <v>86</v>
      </c>
    </row>
    <row r="13">
      <c r="B13" s="2">
        <v>12.0</v>
      </c>
      <c r="C13" s="91">
        <v>44997.0</v>
      </c>
      <c r="D13" s="111">
        <f>96.27</f>
        <v>96.27</v>
      </c>
      <c r="E13" s="111">
        <v>0.0</v>
      </c>
      <c r="F13" s="111">
        <v>0.0</v>
      </c>
      <c r="G13" s="111">
        <v>0.0</v>
      </c>
      <c r="H13" s="111">
        <v>0.0</v>
      </c>
      <c r="J13" s="146">
        <f>N2</f>
        <v>8687.056667</v>
      </c>
      <c r="K13" s="144">
        <f>12514.56</f>
        <v>12514.56</v>
      </c>
      <c r="L13" s="145">
        <f>-100</f>
        <v>-100</v>
      </c>
    </row>
    <row r="14">
      <c r="B14" s="2">
        <v>13.0</v>
      </c>
      <c r="C14" s="91">
        <v>44998.0</v>
      </c>
      <c r="D14" s="111">
        <f>349.99+169.85</f>
        <v>519.84</v>
      </c>
      <c r="E14" s="111">
        <v>0.0</v>
      </c>
      <c r="F14" s="111">
        <v>0.0</v>
      </c>
      <c r="G14" s="111">
        <v>0.0</v>
      </c>
      <c r="H14" s="111">
        <v>0.0</v>
      </c>
      <c r="J14" s="148" t="s">
        <v>81</v>
      </c>
      <c r="K14" s="149">
        <f>SUM(J13:L13)</f>
        <v>21101.61667</v>
      </c>
      <c r="L14" s="142"/>
    </row>
    <row r="15">
      <c r="B15" s="2">
        <v>14.0</v>
      </c>
      <c r="C15" s="91">
        <v>44999.0</v>
      </c>
      <c r="D15" s="111">
        <f>128.99</f>
        <v>128.99</v>
      </c>
      <c r="E15" s="111">
        <v>0.0</v>
      </c>
      <c r="F15" s="111">
        <v>0.0</v>
      </c>
      <c r="G15" s="111">
        <v>0.0</v>
      </c>
      <c r="H15" s="111">
        <v>0.0</v>
      </c>
    </row>
    <row r="16">
      <c r="B16" s="2">
        <v>15.0</v>
      </c>
      <c r="C16" s="91">
        <v>45000.0</v>
      </c>
      <c r="D16" s="111">
        <f>43+119.89</f>
        <v>162.89</v>
      </c>
      <c r="E16" s="111">
        <v>0.0</v>
      </c>
      <c r="F16" s="111">
        <v>0.0</v>
      </c>
      <c r="G16" s="111">
        <v>0.0</v>
      </c>
      <c r="H16" s="111">
        <v>0.0</v>
      </c>
    </row>
    <row r="17">
      <c r="B17" s="2">
        <v>16.0</v>
      </c>
      <c r="C17" s="91">
        <v>45001.0</v>
      </c>
      <c r="D17" s="111">
        <f>72+14</f>
        <v>86</v>
      </c>
      <c r="E17" s="111">
        <v>0.0</v>
      </c>
      <c r="F17" s="111">
        <v>0.0</v>
      </c>
      <c r="G17" s="111">
        <v>0.0</v>
      </c>
      <c r="H17" s="111">
        <f>76.5+72.02+333.74</f>
        <v>482.26</v>
      </c>
    </row>
    <row r="18">
      <c r="B18" s="2">
        <v>17.0</v>
      </c>
      <c r="C18" s="91">
        <v>45002.0</v>
      </c>
      <c r="D18" s="111">
        <f>52.36</f>
        <v>52.36</v>
      </c>
      <c r="E18" s="111">
        <v>0.0</v>
      </c>
      <c r="F18" s="111">
        <v>0.0</v>
      </c>
      <c r="G18" s="111">
        <v>0.0</v>
      </c>
      <c r="H18" s="111">
        <f>125/3</f>
        <v>41.66666667</v>
      </c>
    </row>
    <row r="19">
      <c r="B19" s="2">
        <v>18.0</v>
      </c>
      <c r="C19" s="91">
        <v>45003.0</v>
      </c>
      <c r="D19" s="111">
        <f>235+7+163.94+49.4</f>
        <v>455.34</v>
      </c>
      <c r="E19" s="111">
        <f>50</f>
        <v>50</v>
      </c>
      <c r="F19" s="111">
        <v>0.0</v>
      </c>
      <c r="G19" s="111">
        <v>0.0</v>
      </c>
      <c r="H19" s="111">
        <v>0.0</v>
      </c>
    </row>
    <row r="20">
      <c r="B20" s="2">
        <v>19.0</v>
      </c>
      <c r="C20" s="91">
        <v>45004.0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</row>
    <row r="21">
      <c r="B21" s="2">
        <v>20.0</v>
      </c>
      <c r="C21" s="91">
        <v>45005.0</v>
      </c>
      <c r="D21" s="111">
        <f>269.76+23</f>
        <v>292.76</v>
      </c>
      <c r="E21" s="111">
        <v>0.0</v>
      </c>
      <c r="F21" s="111">
        <v>0.0</v>
      </c>
      <c r="G21" s="111">
        <v>0.0</v>
      </c>
      <c r="H21" s="111">
        <f>60+456.95</f>
        <v>516.95</v>
      </c>
    </row>
    <row r="22">
      <c r="B22" s="2">
        <v>21.0</v>
      </c>
      <c r="C22" s="91">
        <v>45006.0</v>
      </c>
      <c r="D22" s="111">
        <v>0.0</v>
      </c>
      <c r="E22" s="111">
        <v>0.0</v>
      </c>
      <c r="F22" s="111">
        <v>0.0</v>
      </c>
      <c r="G22" s="111">
        <v>0.0</v>
      </c>
      <c r="H22" s="111">
        <f>9.9+87.5</f>
        <v>97.4</v>
      </c>
    </row>
    <row r="23">
      <c r="B23" s="2">
        <v>22.0</v>
      </c>
      <c r="C23" s="91">
        <v>45007.0</v>
      </c>
      <c r="D23" s="111">
        <f>87.9</f>
        <v>87.9</v>
      </c>
      <c r="E23" s="111">
        <v>0.0</v>
      </c>
      <c r="F23" s="111">
        <v>0.0</v>
      </c>
      <c r="G23" s="111">
        <v>0.0</v>
      </c>
      <c r="H23" s="111">
        <v>0.0</v>
      </c>
    </row>
    <row r="24">
      <c r="B24" s="2">
        <v>23.0</v>
      </c>
      <c r="C24" s="91">
        <v>45008.0</v>
      </c>
      <c r="D24" s="111">
        <f>131</f>
        <v>131</v>
      </c>
      <c r="E24" s="111">
        <v>0.0</v>
      </c>
      <c r="F24" s="111">
        <v>0.0</v>
      </c>
      <c r="G24" s="111">
        <v>0.0</v>
      </c>
      <c r="H24" s="111">
        <f>24.5</f>
        <v>24.5</v>
      </c>
    </row>
    <row r="25">
      <c r="B25" s="2">
        <v>24.0</v>
      </c>
      <c r="C25" s="91">
        <v>45009.0</v>
      </c>
      <c r="D25" s="111">
        <f>44.95+200</f>
        <v>244.95</v>
      </c>
      <c r="E25" s="111">
        <v>0.0</v>
      </c>
      <c r="F25" s="111">
        <v>0.0</v>
      </c>
      <c r="G25" s="111">
        <v>0.0</v>
      </c>
      <c r="H25" s="111">
        <v>0.0</v>
      </c>
    </row>
    <row r="26">
      <c r="B26" s="2">
        <v>25.0</v>
      </c>
      <c r="C26" s="91">
        <v>45010.0</v>
      </c>
      <c r="D26" s="111">
        <f>248+124.85+30+104.91+41</f>
        <v>548.76</v>
      </c>
      <c r="E26" s="111">
        <v>0.0</v>
      </c>
      <c r="F26" s="111">
        <v>0.0</v>
      </c>
      <c r="G26" s="111">
        <v>0.0</v>
      </c>
      <c r="H26" s="111">
        <v>0.0</v>
      </c>
    </row>
    <row r="27">
      <c r="B27" s="2">
        <v>26.0</v>
      </c>
      <c r="C27" s="91">
        <v>45011.0</v>
      </c>
      <c r="D27" s="111">
        <f>76.78+37.65+21.5</f>
        <v>135.93</v>
      </c>
      <c r="E27" s="111">
        <v>0.0</v>
      </c>
      <c r="F27" s="111">
        <v>0.0</v>
      </c>
      <c r="G27" s="111">
        <v>0.0</v>
      </c>
      <c r="H27" s="111">
        <v>0.0</v>
      </c>
    </row>
    <row r="28">
      <c r="B28" s="2">
        <v>27.0</v>
      </c>
      <c r="C28" s="91">
        <v>45012.0</v>
      </c>
      <c r="D28" s="111">
        <v>0.0</v>
      </c>
      <c r="E28" s="111">
        <v>0.0</v>
      </c>
      <c r="F28" s="111">
        <v>0.0</v>
      </c>
      <c r="G28" s="111">
        <v>0.0</v>
      </c>
      <c r="H28" s="111">
        <f>90.4</f>
        <v>90.4</v>
      </c>
    </row>
    <row r="29">
      <c r="B29" s="2">
        <v>28.0</v>
      </c>
      <c r="C29" s="91">
        <v>45013.0</v>
      </c>
      <c r="D29" s="111">
        <f>14+116.12</f>
        <v>130.12</v>
      </c>
      <c r="E29" s="111">
        <v>0.0</v>
      </c>
      <c r="F29" s="111">
        <v>0.0</v>
      </c>
      <c r="G29" s="111">
        <v>0.0</v>
      </c>
      <c r="H29" s="111">
        <v>0.0</v>
      </c>
    </row>
    <row r="30">
      <c r="B30" s="2">
        <v>29.0</v>
      </c>
      <c r="C30" s="91">
        <v>45014.0</v>
      </c>
      <c r="D30" s="111">
        <f>113.2+162.5</f>
        <v>275.7</v>
      </c>
      <c r="E30" s="111">
        <v>0.0</v>
      </c>
      <c r="F30" s="111">
        <v>0.0</v>
      </c>
      <c r="G30" s="111">
        <v>0.0</v>
      </c>
      <c r="H30" s="111">
        <v>0.0</v>
      </c>
    </row>
    <row r="31">
      <c r="B31" s="2">
        <v>30.0</v>
      </c>
      <c r="C31" s="91">
        <v>45015.0</v>
      </c>
      <c r="D31" s="111">
        <f>94.69+117.7+76.35+98.99</f>
        <v>387.73</v>
      </c>
      <c r="E31" s="111">
        <v>0.0</v>
      </c>
      <c r="F31" s="111">
        <v>0.0</v>
      </c>
      <c r="G31" s="111">
        <v>0.0</v>
      </c>
      <c r="H31" s="111">
        <v>0.0</v>
      </c>
    </row>
    <row r="32">
      <c r="B32" s="2">
        <v>31.0</v>
      </c>
      <c r="C32" s="91">
        <v>45016.0</v>
      </c>
      <c r="D32" s="111">
        <f>180+72</f>
        <v>252</v>
      </c>
      <c r="E32" s="111">
        <v>0.0</v>
      </c>
      <c r="F32" s="111">
        <v>0.0</v>
      </c>
      <c r="G32" s="111">
        <v>0.0</v>
      </c>
      <c r="H32" s="111">
        <v>0.0</v>
      </c>
    </row>
    <row r="33">
      <c r="C33" s="162"/>
    </row>
  </sheetData>
  <mergeCells count="2">
    <mergeCell ref="J11:L11"/>
    <mergeCell ref="K14:L14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.29"/>
    <col customWidth="1" min="9" max="9" width="14.57"/>
    <col customWidth="1" min="10" max="10" width="9.14"/>
    <col customWidth="1" min="11" max="11" width="10.14"/>
    <col customWidth="1" min="12" max="12" width="11.0"/>
    <col customWidth="1" min="13" max="13" width="8.0"/>
    <col customWidth="1" min="14" max="14" width="8.71"/>
  </cols>
  <sheetData>
    <row r="1">
      <c r="C1" s="106" t="s">
        <v>60</v>
      </c>
      <c r="D1" s="107" t="s">
        <v>35</v>
      </c>
      <c r="E1" s="108" t="s">
        <v>61</v>
      </c>
      <c r="F1" s="108" t="s">
        <v>62</v>
      </c>
      <c r="G1" s="108" t="s">
        <v>40</v>
      </c>
      <c r="H1" s="108" t="s">
        <v>66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B2" s="2">
        <v>1.0</v>
      </c>
      <c r="C2" s="91">
        <v>44958.0</v>
      </c>
      <c r="D2" s="111">
        <f>172+5.42+0.54+0.81+69.45+40+92.99</f>
        <v>381.21</v>
      </c>
      <c r="E2" s="111">
        <v>0.0</v>
      </c>
      <c r="F2" s="111">
        <v>0.0</v>
      </c>
      <c r="G2" s="111">
        <v>0.0</v>
      </c>
      <c r="H2" s="111">
        <f>8.8+13.2+78.99+5+3.99</f>
        <v>109.98</v>
      </c>
      <c r="I2" s="112">
        <f>+AVERAGE(D2:D31)</f>
        <v>111.7078571</v>
      </c>
      <c r="J2" s="113">
        <f>+N2/B29</f>
        <v>231.8745238</v>
      </c>
      <c r="K2" s="114">
        <f t="shared" ref="K2:L2" si="1">+SUM(D2:D31)</f>
        <v>3127.82</v>
      </c>
      <c r="L2" s="113">
        <f t="shared" si="1"/>
        <v>0</v>
      </c>
      <c r="M2" s="113">
        <f>+SUM(H2:H31)</f>
        <v>1765</v>
      </c>
      <c r="N2" s="115">
        <f>+SUM(D2:H31)</f>
        <v>6492.486667</v>
      </c>
    </row>
    <row r="3">
      <c r="B3" s="2">
        <v>2.0</v>
      </c>
      <c r="C3" s="91">
        <v>44959.0</v>
      </c>
      <c r="D3" s="111">
        <f>27.5+172</f>
        <v>199.5</v>
      </c>
      <c r="E3" s="111">
        <v>0.0</v>
      </c>
      <c r="F3" s="111">
        <v>0.0</v>
      </c>
      <c r="G3" s="111">
        <f>139</f>
        <v>139</v>
      </c>
      <c r="H3" s="111">
        <f>14.75+6.49</f>
        <v>21.24</v>
      </c>
      <c r="N3" s="105"/>
    </row>
    <row r="4">
      <c r="B4" s="2">
        <v>3.0</v>
      </c>
      <c r="C4" s="91">
        <v>44960.0</v>
      </c>
      <c r="D4" s="111">
        <v>0.0</v>
      </c>
      <c r="E4" s="111">
        <v>0.0</v>
      </c>
      <c r="F4" s="111">
        <v>0.0</v>
      </c>
      <c r="G4" s="111">
        <v>0.0</v>
      </c>
      <c r="H4" s="111">
        <v>0.0</v>
      </c>
    </row>
    <row r="5">
      <c r="B5" s="2">
        <v>4.0</v>
      </c>
      <c r="C5" s="91">
        <v>44961.0</v>
      </c>
      <c r="D5" s="111">
        <f>17+12.5+111.7+29</f>
        <v>170.2</v>
      </c>
      <c r="E5" s="111">
        <v>0.0</v>
      </c>
      <c r="F5" s="111">
        <v>0.0</v>
      </c>
      <c r="G5" s="111">
        <v>0.0</v>
      </c>
      <c r="H5" s="111">
        <v>0.0</v>
      </c>
    </row>
    <row r="6">
      <c r="B6" s="2">
        <v>5.0</v>
      </c>
      <c r="C6" s="91">
        <v>44962.0</v>
      </c>
      <c r="D6" s="111">
        <f>62.64+50.33+73.48</f>
        <v>186.45</v>
      </c>
      <c r="E6" s="111">
        <v>0.0</v>
      </c>
      <c r="F6" s="111">
        <v>0.0</v>
      </c>
      <c r="G6" s="111">
        <v>0.0</v>
      </c>
      <c r="H6" s="111">
        <f>7.9+103.33</f>
        <v>111.23</v>
      </c>
    </row>
    <row r="7">
      <c r="B7" s="2">
        <v>6.0</v>
      </c>
      <c r="C7" s="91">
        <v>44963.0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</row>
    <row r="8">
      <c r="B8" s="2">
        <v>7.0</v>
      </c>
      <c r="C8" s="91">
        <v>44964.0</v>
      </c>
      <c r="D8" s="111">
        <f>94.37</f>
        <v>94.37</v>
      </c>
      <c r="E8" s="111">
        <v>0.0</v>
      </c>
      <c r="F8" s="111">
        <v>0.0</v>
      </c>
      <c r="G8" s="111">
        <v>0.0</v>
      </c>
      <c r="H8" s="111">
        <v>0.0</v>
      </c>
    </row>
    <row r="9">
      <c r="B9" s="2">
        <v>8.0</v>
      </c>
      <c r="C9" s="91">
        <v>44965.0</v>
      </c>
      <c r="D9" s="111">
        <f>9.75+49.51</f>
        <v>59.26</v>
      </c>
      <c r="E9" s="111">
        <v>0.0</v>
      </c>
      <c r="F9" s="111">
        <v>0.0</v>
      </c>
      <c r="G9" s="111">
        <v>0.0</v>
      </c>
      <c r="H9" s="111">
        <f>3.19+2.12+21.24+277</f>
        <v>303.55</v>
      </c>
      <c r="J9" s="105"/>
      <c r="R9" s="163"/>
    </row>
    <row r="10">
      <c r="B10" s="2">
        <v>9.0</v>
      </c>
      <c r="C10" s="91">
        <v>44966.0</v>
      </c>
      <c r="D10" s="111">
        <f>179.14</f>
        <v>179.14</v>
      </c>
      <c r="E10" s="111">
        <v>0.0</v>
      </c>
      <c r="F10" s="111">
        <v>0.0</v>
      </c>
      <c r="G10" s="111">
        <v>0.0</v>
      </c>
      <c r="H10" s="111">
        <v>0.0</v>
      </c>
      <c r="R10" s="163"/>
    </row>
    <row r="11">
      <c r="B11" s="2">
        <v>10.0</v>
      </c>
      <c r="C11" s="91">
        <v>44967.0</v>
      </c>
      <c r="D11" s="111">
        <f>287</f>
        <v>287</v>
      </c>
      <c r="E11" s="111">
        <v>0.0</v>
      </c>
      <c r="F11" s="111">
        <v>0.0</v>
      </c>
      <c r="G11" s="111">
        <v>0.0</v>
      </c>
      <c r="H11" s="111">
        <v>0.0</v>
      </c>
      <c r="J11" s="140" t="s">
        <v>78</v>
      </c>
      <c r="K11" s="141"/>
      <c r="L11" s="142"/>
    </row>
    <row r="12">
      <c r="B12" s="2">
        <v>11.0</v>
      </c>
      <c r="C12" s="91">
        <v>44968.0</v>
      </c>
      <c r="D12" s="111">
        <f>68+29</f>
        <v>97</v>
      </c>
      <c r="E12" s="111">
        <v>0.0</v>
      </c>
      <c r="F12" s="111">
        <v>0.0</v>
      </c>
      <c r="G12" s="111">
        <v>0.0</v>
      </c>
      <c r="H12" s="111">
        <f>85.91</f>
        <v>85.91</v>
      </c>
      <c r="J12" s="143" t="s">
        <v>88</v>
      </c>
      <c r="K12" s="144" t="s">
        <v>85</v>
      </c>
      <c r="L12" s="145" t="s">
        <v>86</v>
      </c>
    </row>
    <row r="13">
      <c r="B13" s="2">
        <v>12.0</v>
      </c>
      <c r="C13" s="91">
        <v>44969.0</v>
      </c>
      <c r="D13" s="111">
        <v>0.0</v>
      </c>
      <c r="E13" s="111">
        <v>0.0</v>
      </c>
      <c r="F13" s="111">
        <v>0.0</v>
      </c>
      <c r="G13" s="111">
        <v>0.0</v>
      </c>
      <c r="H13" s="111">
        <v>0.0</v>
      </c>
      <c r="J13" s="143">
        <f>4500</f>
        <v>4500</v>
      </c>
      <c r="K13" s="144">
        <f>7600</f>
        <v>7600</v>
      </c>
      <c r="L13" s="145">
        <f>0</f>
        <v>0</v>
      </c>
    </row>
    <row r="14">
      <c r="B14" s="2">
        <v>13.0</v>
      </c>
      <c r="C14" s="91">
        <v>44970.0</v>
      </c>
      <c r="D14" s="111">
        <f>41.5</f>
        <v>41.5</v>
      </c>
      <c r="E14" s="111">
        <v>0.0</v>
      </c>
      <c r="F14" s="111">
        <v>0.0</v>
      </c>
      <c r="G14" s="111">
        <v>0.0</v>
      </c>
      <c r="H14" s="111">
        <f>122.5+140</f>
        <v>262.5</v>
      </c>
      <c r="J14" s="148" t="s">
        <v>81</v>
      </c>
      <c r="K14" s="151">
        <f>SUM(J13:L13)</f>
        <v>12100</v>
      </c>
      <c r="L14" s="142"/>
    </row>
    <row r="15">
      <c r="B15" s="2">
        <v>14.0</v>
      </c>
      <c r="C15" s="91">
        <v>44971.0</v>
      </c>
      <c r="D15" s="111">
        <f>140</f>
        <v>140</v>
      </c>
      <c r="E15" s="111">
        <v>0.0</v>
      </c>
      <c r="F15" s="111">
        <f>600</f>
        <v>600</v>
      </c>
      <c r="G15" s="111">
        <f>2450/3+44</f>
        <v>860.6666667</v>
      </c>
      <c r="H15" s="111">
        <v>0.0</v>
      </c>
    </row>
    <row r="16">
      <c r="B16" s="2">
        <v>15.0</v>
      </c>
      <c r="C16" s="91">
        <v>44972.0</v>
      </c>
      <c r="D16" s="111">
        <f>157.42</f>
        <v>157.42</v>
      </c>
      <c r="E16" s="111">
        <v>0.0</v>
      </c>
      <c r="F16" s="111">
        <v>0.0</v>
      </c>
      <c r="G16" s="111">
        <v>0.0</v>
      </c>
      <c r="H16" s="111">
        <v>0.0</v>
      </c>
    </row>
    <row r="17">
      <c r="B17" s="2">
        <v>16.0</v>
      </c>
      <c r="C17" s="91">
        <v>44973.0</v>
      </c>
      <c r="D17" s="111">
        <f>5.25+32+168.53</f>
        <v>205.78</v>
      </c>
      <c r="E17" s="111">
        <v>0.0</v>
      </c>
      <c r="F17" s="111">
        <v>0.0</v>
      </c>
      <c r="G17" s="111">
        <v>0.0</v>
      </c>
      <c r="H17" s="111">
        <f>7.5+333.74</f>
        <v>341.24</v>
      </c>
    </row>
    <row r="18">
      <c r="B18" s="2">
        <v>17.0</v>
      </c>
      <c r="C18" s="91">
        <v>44974.0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</row>
    <row r="19">
      <c r="B19" s="2">
        <v>18.0</v>
      </c>
      <c r="C19" s="91">
        <v>44975.0</v>
      </c>
      <c r="D19" s="111">
        <f>77.48+27.16</f>
        <v>104.64</v>
      </c>
      <c r="E19" s="111">
        <v>0.0</v>
      </c>
      <c r="F19" s="111">
        <v>0.0</v>
      </c>
      <c r="G19" s="111">
        <v>0.0</v>
      </c>
      <c r="H19" s="111">
        <v>0.0</v>
      </c>
    </row>
    <row r="20">
      <c r="B20" s="2">
        <v>19.0</v>
      </c>
      <c r="C20" s="91">
        <v>44976.0</v>
      </c>
      <c r="D20" s="111">
        <v>0.0</v>
      </c>
      <c r="E20" s="111">
        <v>0.0</v>
      </c>
      <c r="F20" s="111">
        <v>0.0</v>
      </c>
      <c r="G20" s="111">
        <v>0.0</v>
      </c>
      <c r="H20" s="111">
        <f>9.9</f>
        <v>9.9</v>
      </c>
    </row>
    <row r="21">
      <c r="B21" s="2">
        <v>20.0</v>
      </c>
      <c r="C21" s="91">
        <v>44977.0</v>
      </c>
      <c r="D21" s="111">
        <f>26.5</f>
        <v>26.5</v>
      </c>
      <c r="E21" s="111">
        <v>0.0</v>
      </c>
      <c r="F21" s="111">
        <v>0.0</v>
      </c>
      <c r="G21" s="111">
        <v>0.0</v>
      </c>
      <c r="H21" s="111">
        <f>3.25+2.16+21.64+429.9</f>
        <v>456.95</v>
      </c>
    </row>
    <row r="22">
      <c r="B22" s="2">
        <v>21.0</v>
      </c>
      <c r="C22" s="91">
        <v>44978.0</v>
      </c>
      <c r="D22" s="111">
        <f>87+106.04</f>
        <v>193.04</v>
      </c>
      <c r="E22" s="111">
        <v>0.0</v>
      </c>
      <c r="F22" s="111">
        <v>0.0</v>
      </c>
      <c r="G22" s="111">
        <v>0.0</v>
      </c>
      <c r="H22" s="111">
        <v>0.0</v>
      </c>
    </row>
    <row r="23">
      <c r="B23" s="2">
        <v>22.0</v>
      </c>
      <c r="C23" s="91">
        <v>44979.0</v>
      </c>
      <c r="D23" s="111">
        <f>143.99</f>
        <v>143.99</v>
      </c>
      <c r="E23" s="111">
        <v>0.0</v>
      </c>
      <c r="F23" s="111">
        <v>0.0</v>
      </c>
      <c r="G23" s="111">
        <v>0.0</v>
      </c>
      <c r="H23" s="111">
        <v>0.0</v>
      </c>
    </row>
    <row r="24">
      <c r="B24" s="2">
        <v>23.0</v>
      </c>
      <c r="C24" s="91">
        <v>44980.0</v>
      </c>
      <c r="D24" s="111">
        <f>102.6</f>
        <v>102.6</v>
      </c>
      <c r="E24" s="111">
        <v>0.0</v>
      </c>
      <c r="F24" s="111">
        <v>0.0</v>
      </c>
      <c r="G24" s="111">
        <v>0.0</v>
      </c>
      <c r="H24" s="111">
        <v>0.0</v>
      </c>
    </row>
    <row r="25">
      <c r="B25" s="2">
        <v>24.0</v>
      </c>
      <c r="C25" s="91">
        <v>44981.0</v>
      </c>
      <c r="D25" s="111">
        <f>18.5+30.08</f>
        <v>48.58</v>
      </c>
      <c r="E25" s="111">
        <v>0.0</v>
      </c>
      <c r="F25" s="111">
        <v>0.0</v>
      </c>
      <c r="G25" s="111">
        <v>0.0</v>
      </c>
      <c r="H25" s="111">
        <v>0.0</v>
      </c>
    </row>
    <row r="26">
      <c r="B26" s="2">
        <v>25.0</v>
      </c>
      <c r="C26" s="91">
        <v>44982.0</v>
      </c>
      <c r="D26" s="111">
        <f>30.85+123.64+25.44</f>
        <v>179.93</v>
      </c>
      <c r="E26" s="111">
        <v>0.0</v>
      </c>
      <c r="F26" s="111">
        <v>0.0</v>
      </c>
      <c r="G26" s="111">
        <v>0.0</v>
      </c>
      <c r="H26" s="111">
        <v>0.0</v>
      </c>
    </row>
    <row r="27">
      <c r="B27" s="2">
        <v>26.0</v>
      </c>
      <c r="C27" s="91">
        <v>44983.0</v>
      </c>
      <c r="D27" s="111">
        <v>0.0</v>
      </c>
      <c r="E27" s="111">
        <v>0.0</v>
      </c>
      <c r="F27" s="111">
        <v>0.0</v>
      </c>
      <c r="G27" s="111">
        <v>0.0</v>
      </c>
      <c r="H27" s="111">
        <v>0.0</v>
      </c>
    </row>
    <row r="28">
      <c r="B28" s="2">
        <v>27.0</v>
      </c>
      <c r="C28" s="91">
        <v>44984.0</v>
      </c>
      <c r="D28" s="111">
        <v>0.0</v>
      </c>
      <c r="E28" s="111">
        <v>0.0</v>
      </c>
      <c r="F28" s="111">
        <v>0.0</v>
      </c>
      <c r="G28" s="111">
        <v>0.0</v>
      </c>
      <c r="H28" s="111">
        <v>0.0</v>
      </c>
    </row>
    <row r="29">
      <c r="B29" s="2">
        <v>28.0</v>
      </c>
      <c r="C29" s="91">
        <v>44985.0</v>
      </c>
      <c r="D29" s="111">
        <f>129.71</f>
        <v>129.71</v>
      </c>
      <c r="E29" s="111">
        <v>0.0</v>
      </c>
      <c r="F29" s="111">
        <v>0.0</v>
      </c>
      <c r="G29" s="111">
        <v>0.0</v>
      </c>
      <c r="H29" s="111">
        <f>62.5</f>
        <v>62.5</v>
      </c>
    </row>
    <row r="30">
      <c r="C30" s="94"/>
      <c r="D30" s="105"/>
      <c r="E30" s="105"/>
      <c r="F30" s="105"/>
      <c r="G30" s="105"/>
      <c r="H30" s="105"/>
    </row>
    <row r="31">
      <c r="C31" s="94"/>
      <c r="D31" s="105"/>
      <c r="E31" s="105"/>
      <c r="F31" s="105"/>
      <c r="G31" s="105"/>
      <c r="H31" s="105"/>
    </row>
    <row r="32">
      <c r="C32" s="94"/>
      <c r="D32" s="105"/>
      <c r="E32" s="105"/>
      <c r="F32" s="105"/>
      <c r="G32" s="105"/>
      <c r="H32" s="105"/>
    </row>
  </sheetData>
  <mergeCells count="2">
    <mergeCell ref="J11:L11"/>
    <mergeCell ref="K14:L14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7.0"/>
    <col customWidth="1" min="5" max="5" width="8.43"/>
    <col customWidth="1" min="6" max="6" width="4.71"/>
    <col customWidth="1" min="7" max="8" width="7.0"/>
    <col customWidth="1" min="9" max="9" width="12.86"/>
    <col customWidth="1" min="10" max="10" width="8.14"/>
    <col customWidth="1" min="11" max="11" width="9.14"/>
    <col customWidth="1" min="12" max="12" width="9.86"/>
    <col customWidth="1" min="13" max="13" width="8.0"/>
    <col customWidth="1" min="14" max="14" width="8.71"/>
    <col customWidth="1" min="15" max="26" width="10.71"/>
  </cols>
  <sheetData>
    <row r="1">
      <c r="C1" s="106" t="s">
        <v>60</v>
      </c>
      <c r="D1" s="107" t="s">
        <v>35</v>
      </c>
      <c r="E1" s="108" t="s">
        <v>61</v>
      </c>
      <c r="F1" s="108" t="s">
        <v>62</v>
      </c>
      <c r="G1" s="108" t="s">
        <v>40</v>
      </c>
      <c r="H1" s="108" t="s">
        <v>66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B2" s="2">
        <v>1.0</v>
      </c>
      <c r="C2" s="91">
        <v>44927.0</v>
      </c>
      <c r="D2" s="111">
        <f>73.22</f>
        <v>73.22</v>
      </c>
      <c r="E2" s="111">
        <f>20</f>
        <v>20</v>
      </c>
      <c r="F2" s="111">
        <v>0.0</v>
      </c>
      <c r="G2" s="111">
        <v>0.0</v>
      </c>
      <c r="H2" s="111">
        <v>0.0</v>
      </c>
      <c r="I2" s="112">
        <f>+AVERAGE(D2:D31)</f>
        <v>141.2803333</v>
      </c>
      <c r="J2" s="113">
        <f>+N2/B31</f>
        <v>244.4293333</v>
      </c>
      <c r="K2" s="114">
        <f t="shared" ref="K2:L2" si="1">+SUM(D2:D31)</f>
        <v>4238.41</v>
      </c>
      <c r="L2" s="113">
        <f t="shared" si="1"/>
        <v>573.99</v>
      </c>
      <c r="M2" s="113">
        <f>+SUM(H2:H31)</f>
        <v>2363.98</v>
      </c>
      <c r="N2" s="115">
        <f>+SUM(D2:H31)</f>
        <v>7332.88</v>
      </c>
    </row>
    <row r="3">
      <c r="B3" s="2">
        <v>2.0</v>
      </c>
      <c r="C3" s="91">
        <v>44928.0</v>
      </c>
      <c r="D3" s="111">
        <f>102.15+41</f>
        <v>143.15</v>
      </c>
      <c r="E3" s="111">
        <v>0.0</v>
      </c>
      <c r="F3" s="111">
        <v>0.0</v>
      </c>
      <c r="G3" s="111">
        <v>0.0</v>
      </c>
      <c r="H3" s="111">
        <f>6.74</f>
        <v>6.74</v>
      </c>
      <c r="N3" s="105"/>
    </row>
    <row r="4">
      <c r="B4" s="2">
        <v>3.0</v>
      </c>
      <c r="C4" s="91">
        <v>44929.0</v>
      </c>
      <c r="D4" s="111">
        <f>11.5+17.95+12.52</f>
        <v>41.97</v>
      </c>
      <c r="E4" s="111">
        <v>0.0</v>
      </c>
      <c r="F4" s="111">
        <v>0.0</v>
      </c>
      <c r="G4" s="111">
        <v>0.0</v>
      </c>
      <c r="H4" s="111">
        <v>0.0</v>
      </c>
    </row>
    <row r="5">
      <c r="B5" s="2">
        <v>4.0</v>
      </c>
      <c r="C5" s="91">
        <v>44930.0</v>
      </c>
      <c r="D5" s="111">
        <f>12+104</f>
        <v>116</v>
      </c>
      <c r="E5" s="111">
        <v>0.0</v>
      </c>
      <c r="F5" s="111">
        <v>0.0</v>
      </c>
      <c r="G5" s="111">
        <v>0.0</v>
      </c>
      <c r="H5" s="111">
        <v>0.0</v>
      </c>
      <c r="R5" s="164" t="s">
        <v>89</v>
      </c>
    </row>
    <row r="6">
      <c r="B6" s="2">
        <v>5.0</v>
      </c>
      <c r="C6" s="91">
        <v>44931.0</v>
      </c>
      <c r="D6" s="111">
        <f>13.81+142+42+71.2</f>
        <v>269.01</v>
      </c>
      <c r="E6" s="111">
        <v>0.0</v>
      </c>
      <c r="F6" s="111">
        <v>0.0</v>
      </c>
      <c r="G6" s="111">
        <f>112.5</f>
        <v>112.5</v>
      </c>
      <c r="H6" s="111">
        <f>7.9+103.33</f>
        <v>111.23</v>
      </c>
      <c r="R6" s="165">
        <f>44-2017/3-600+100+500</f>
        <v>-628.3333333</v>
      </c>
    </row>
    <row r="7">
      <c r="B7" s="2">
        <v>6.0</v>
      </c>
      <c r="C7" s="91">
        <v>44932.0</v>
      </c>
      <c r="D7" s="111">
        <f>277</f>
        <v>277</v>
      </c>
      <c r="E7" s="111">
        <v>0.0</v>
      </c>
      <c r="F7" s="111">
        <v>0.0</v>
      </c>
      <c r="G7" s="111">
        <v>0.0</v>
      </c>
      <c r="H7" s="111">
        <v>0.0</v>
      </c>
    </row>
    <row r="8">
      <c r="B8" s="2">
        <v>7.0</v>
      </c>
      <c r="C8" s="91">
        <v>44933.0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</row>
    <row r="9">
      <c r="B9" s="2">
        <v>8.0</v>
      </c>
      <c r="C9" s="91">
        <v>44934.0</v>
      </c>
      <c r="D9" s="111">
        <f>69.9+18.75</f>
        <v>88.65</v>
      </c>
      <c r="E9" s="111">
        <v>0.0</v>
      </c>
      <c r="F9" s="111">
        <v>0.0</v>
      </c>
      <c r="G9" s="111">
        <v>0.0</v>
      </c>
      <c r="H9" s="111">
        <f>510+272.8+27.88+2.79+4.18</f>
        <v>817.65</v>
      </c>
      <c r="J9" s="105"/>
      <c r="R9" s="163"/>
      <c r="S9" s="163"/>
    </row>
    <row r="10">
      <c r="B10" s="2">
        <v>9.0</v>
      </c>
      <c r="C10" s="91">
        <v>44935.0</v>
      </c>
      <c r="D10" s="111">
        <f>97+10.99</f>
        <v>107.99</v>
      </c>
      <c r="E10" s="111">
        <v>0.0</v>
      </c>
      <c r="F10" s="111">
        <v>0.0</v>
      </c>
      <c r="G10" s="111">
        <v>0.0</v>
      </c>
      <c r="H10" s="111">
        <v>0.0</v>
      </c>
      <c r="R10" s="163"/>
      <c r="S10" s="163"/>
    </row>
    <row r="11">
      <c r="B11" s="2">
        <v>10.0</v>
      </c>
      <c r="C11" s="91">
        <v>44936.0</v>
      </c>
      <c r="D11" s="111">
        <f>29.68+81.2+82.92+3</f>
        <v>196.8</v>
      </c>
      <c r="E11" s="111">
        <v>0.0</v>
      </c>
      <c r="F11" s="111">
        <v>0.0</v>
      </c>
      <c r="G11" s="111">
        <v>0.0</v>
      </c>
      <c r="H11" s="111">
        <v>0.0</v>
      </c>
    </row>
    <row r="12">
      <c r="B12" s="2">
        <v>11.0</v>
      </c>
      <c r="C12" s="91">
        <v>44937.0</v>
      </c>
      <c r="D12" s="111">
        <f>108+117.24+200</f>
        <v>425.24</v>
      </c>
      <c r="E12" s="111">
        <f>30</f>
        <v>30</v>
      </c>
      <c r="F12" s="111">
        <v>0.0</v>
      </c>
      <c r="G12" s="111">
        <v>0.0</v>
      </c>
      <c r="H12" s="111">
        <f>60.42+130+85.91</f>
        <v>276.33</v>
      </c>
    </row>
    <row r="13">
      <c r="B13" s="2">
        <v>12.0</v>
      </c>
      <c r="C13" s="91">
        <v>44938.0</v>
      </c>
      <c r="D13" s="111">
        <f>91.25+187.14</f>
        <v>278.39</v>
      </c>
      <c r="E13" s="111">
        <v>0.0</v>
      </c>
      <c r="F13" s="111">
        <v>0.0</v>
      </c>
      <c r="G13" s="111">
        <v>0.0</v>
      </c>
      <c r="H13" s="111">
        <v>0.0</v>
      </c>
    </row>
    <row r="14">
      <c r="B14" s="2">
        <v>13.0</v>
      </c>
      <c r="C14" s="91">
        <v>44939.0</v>
      </c>
      <c r="D14" s="111">
        <f>41</f>
        <v>41</v>
      </c>
      <c r="E14" s="111">
        <v>0.0</v>
      </c>
      <c r="F14" s="111">
        <v>0.0</v>
      </c>
      <c r="G14" s="111">
        <v>0.0</v>
      </c>
      <c r="H14" s="111">
        <v>0.0</v>
      </c>
    </row>
    <row r="15">
      <c r="B15" s="2">
        <v>14.0</v>
      </c>
      <c r="C15" s="91">
        <v>44940.0</v>
      </c>
      <c r="D15" s="111">
        <f>3</f>
        <v>3</v>
      </c>
      <c r="E15" s="111">
        <v>0.0</v>
      </c>
      <c r="F15" s="111">
        <v>0.0</v>
      </c>
      <c r="G15" s="111">
        <v>0.0</v>
      </c>
      <c r="H15" s="111">
        <v>0.0</v>
      </c>
    </row>
    <row r="16">
      <c r="B16" s="2">
        <v>15.0</v>
      </c>
      <c r="C16" s="91">
        <v>44941.0</v>
      </c>
      <c r="D16" s="111">
        <f>9.75</f>
        <v>9.75</v>
      </c>
      <c r="E16" s="111">
        <v>0.0</v>
      </c>
      <c r="F16" s="111">
        <v>0.0</v>
      </c>
      <c r="G16" s="111">
        <v>0.0</v>
      </c>
      <c r="H16" s="111">
        <v>0.0</v>
      </c>
    </row>
    <row r="17">
      <c r="B17" s="2">
        <v>16.0</v>
      </c>
      <c r="C17" s="91">
        <v>44942.0</v>
      </c>
      <c r="D17" s="111">
        <f>21.69+159</f>
        <v>180.69</v>
      </c>
      <c r="E17" s="111">
        <v>0.0</v>
      </c>
      <c r="F17" s="111">
        <v>0.0</v>
      </c>
      <c r="G17" s="111">
        <v>0.0</v>
      </c>
      <c r="H17" s="111">
        <f>333.76+120.6</f>
        <v>454.36</v>
      </c>
    </row>
    <row r="18">
      <c r="B18" s="2">
        <v>17.0</v>
      </c>
      <c r="C18" s="91">
        <v>44943.0</v>
      </c>
      <c r="D18" s="111">
        <f>33.95</f>
        <v>33.95</v>
      </c>
      <c r="E18" s="111">
        <v>0.0</v>
      </c>
      <c r="F18" s="111">
        <v>0.0</v>
      </c>
      <c r="G18" s="111">
        <v>0.0</v>
      </c>
      <c r="H18" s="111">
        <v>0.0</v>
      </c>
    </row>
    <row r="19">
      <c r="B19" s="2">
        <v>18.0</v>
      </c>
      <c r="C19" s="91">
        <v>44944.0</v>
      </c>
      <c r="D19" s="111">
        <f>78.2+17</f>
        <v>95.2</v>
      </c>
      <c r="E19" s="111">
        <v>0.0</v>
      </c>
      <c r="F19" s="111">
        <v>0.0</v>
      </c>
      <c r="G19" s="111">
        <f>44</f>
        <v>44</v>
      </c>
      <c r="H19" s="111">
        <f>59.99</f>
        <v>59.99</v>
      </c>
    </row>
    <row r="20">
      <c r="B20" s="2">
        <v>19.0</v>
      </c>
      <c r="C20" s="91">
        <v>44945.0</v>
      </c>
      <c r="D20" s="111">
        <f>79.56+118+59+5</f>
        <v>261.56</v>
      </c>
      <c r="E20" s="111">
        <v>0.0</v>
      </c>
      <c r="F20" s="111">
        <v>0.0</v>
      </c>
      <c r="G20" s="111">
        <v>0.0</v>
      </c>
      <c r="H20" s="111">
        <f>108.33</f>
        <v>108.33</v>
      </c>
    </row>
    <row r="21" ht="15.75" customHeight="1">
      <c r="B21" s="2">
        <v>20.0</v>
      </c>
      <c r="C21" s="91">
        <v>44946.0</v>
      </c>
      <c r="D21" s="111">
        <f>39.46+110.44</f>
        <v>149.9</v>
      </c>
      <c r="E21" s="111">
        <f>211</f>
        <v>211</v>
      </c>
      <c r="F21" s="111">
        <v>0.0</v>
      </c>
      <c r="G21" s="111">
        <v>0.0</v>
      </c>
      <c r="H21" s="111">
        <f>423.38+26.85+2.69+4.03+9.9</f>
        <v>466.85</v>
      </c>
    </row>
    <row r="22" ht="15.75" customHeight="1">
      <c r="B22" s="2">
        <v>21.0</v>
      </c>
      <c r="C22" s="91">
        <v>44947.0</v>
      </c>
      <c r="D22" s="111">
        <f>36.5</f>
        <v>36.5</v>
      </c>
      <c r="E22" s="111">
        <v>0.0</v>
      </c>
      <c r="F22" s="111">
        <v>0.0</v>
      </c>
      <c r="G22" s="111">
        <v>0.0</v>
      </c>
      <c r="H22" s="111">
        <v>0.0</v>
      </c>
    </row>
    <row r="23" ht="15.75" customHeight="1">
      <c r="B23" s="2">
        <v>22.0</v>
      </c>
      <c r="C23" s="91">
        <v>44948.0</v>
      </c>
      <c r="D23" s="111">
        <v>0.0</v>
      </c>
      <c r="E23" s="111">
        <v>0.0</v>
      </c>
      <c r="F23" s="111">
        <v>0.0</v>
      </c>
      <c r="G23" s="111">
        <v>0.0</v>
      </c>
      <c r="H23" s="111">
        <v>0.0</v>
      </c>
    </row>
    <row r="24" ht="15.75" customHeight="1">
      <c r="B24" s="2">
        <v>23.0</v>
      </c>
      <c r="C24" s="91">
        <v>44949.0</v>
      </c>
      <c r="D24" s="111">
        <f>64.5+26.85+29</f>
        <v>120.35</v>
      </c>
      <c r="E24" s="111">
        <v>0.0</v>
      </c>
      <c r="F24" s="111">
        <v>0.0</v>
      </c>
      <c r="G24" s="111">
        <v>0.0</v>
      </c>
      <c r="H24" s="111">
        <v>0.0</v>
      </c>
    </row>
    <row r="25" ht="15.75" customHeight="1">
      <c r="B25" s="2">
        <v>24.0</v>
      </c>
      <c r="C25" s="91">
        <v>44950.0</v>
      </c>
      <c r="D25" s="111">
        <f>26.5</f>
        <v>26.5</v>
      </c>
      <c r="E25" s="111">
        <v>0.0</v>
      </c>
      <c r="F25" s="111">
        <v>0.0</v>
      </c>
      <c r="G25" s="111">
        <v>0.0</v>
      </c>
      <c r="H25" s="111">
        <v>0.0</v>
      </c>
    </row>
    <row r="26" ht="15.75" customHeight="1">
      <c r="B26" s="2">
        <v>25.0</v>
      </c>
      <c r="C26" s="91">
        <v>44951.0</v>
      </c>
      <c r="D26" s="111">
        <f>214.35+156+8.5+173</f>
        <v>551.85</v>
      </c>
      <c r="E26" s="111">
        <f>50+51.99</f>
        <v>101.99</v>
      </c>
      <c r="F26" s="111">
        <v>0.0</v>
      </c>
      <c r="G26" s="111">
        <v>0.0</v>
      </c>
      <c r="H26" s="111">
        <v>0.0</v>
      </c>
    </row>
    <row r="27" ht="15.75" customHeight="1">
      <c r="B27" s="2">
        <v>26.0</v>
      </c>
      <c r="C27" s="91">
        <v>44952.0</v>
      </c>
      <c r="D27" s="111">
        <f>71.77</f>
        <v>71.77</v>
      </c>
      <c r="E27" s="111">
        <f>211</f>
        <v>211</v>
      </c>
      <c r="F27" s="111">
        <v>0.0</v>
      </c>
      <c r="G27" s="111">
        <v>0.0</v>
      </c>
      <c r="H27" s="111">
        <v>0.0</v>
      </c>
    </row>
    <row r="28" ht="15.75" customHeight="1">
      <c r="B28" s="2">
        <v>27.0</v>
      </c>
      <c r="C28" s="91">
        <v>44953.0</v>
      </c>
      <c r="D28" s="111">
        <f>147.4+100</f>
        <v>247.4</v>
      </c>
      <c r="E28" s="111">
        <v>0.0</v>
      </c>
      <c r="F28" s="111">
        <v>0.0</v>
      </c>
      <c r="G28" s="111">
        <v>0.0</v>
      </c>
      <c r="H28" s="111">
        <v>0.0</v>
      </c>
    </row>
    <row r="29" ht="15.75" customHeight="1">
      <c r="B29" s="2">
        <v>28.0</v>
      </c>
      <c r="C29" s="91">
        <v>44954.0</v>
      </c>
      <c r="D29" s="111">
        <f>100+2.5</f>
        <v>102.5</v>
      </c>
      <c r="E29" s="111">
        <v>0.0</v>
      </c>
      <c r="F29" s="111">
        <v>0.0</v>
      </c>
      <c r="G29" s="111">
        <v>0.0</v>
      </c>
      <c r="H29" s="111">
        <f>62.5</f>
        <v>62.5</v>
      </c>
    </row>
    <row r="30" ht="15.75" customHeight="1">
      <c r="B30" s="2">
        <v>29.0</v>
      </c>
      <c r="C30" s="91">
        <v>44955.0</v>
      </c>
      <c r="D30" s="111">
        <f>143+91</f>
        <v>234</v>
      </c>
      <c r="E30" s="111">
        <v>0.0</v>
      </c>
      <c r="F30" s="111">
        <v>0.0</v>
      </c>
      <c r="G30" s="111">
        <v>0.0</v>
      </c>
      <c r="H30" s="111">
        <v>0.0</v>
      </c>
    </row>
    <row r="31" ht="15.75" customHeight="1">
      <c r="B31" s="2">
        <v>30.0</v>
      </c>
      <c r="C31" s="91">
        <v>44956.0</v>
      </c>
      <c r="D31" s="111">
        <f>55.07</f>
        <v>55.07</v>
      </c>
      <c r="E31" s="111">
        <v>0.0</v>
      </c>
      <c r="F31" s="111">
        <v>0.0</v>
      </c>
      <c r="G31" s="111">
        <v>0.0</v>
      </c>
      <c r="H31" s="111">
        <v>0.0</v>
      </c>
    </row>
    <row r="32" ht="15.75" customHeight="1">
      <c r="B32" s="2">
        <v>31.0</v>
      </c>
      <c r="C32" s="91">
        <v>44957.0</v>
      </c>
      <c r="D32" s="111">
        <v>0.0</v>
      </c>
      <c r="E32" s="111">
        <v>0.0</v>
      </c>
      <c r="F32" s="111">
        <v>0.0</v>
      </c>
      <c r="G32" s="111">
        <v>0.0</v>
      </c>
      <c r="H32" s="111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C1" s="106" t="s">
        <v>60</v>
      </c>
      <c r="D1" s="107" t="s">
        <v>35</v>
      </c>
      <c r="E1" s="108" t="s">
        <v>61</v>
      </c>
      <c r="F1" s="108" t="s">
        <v>62</v>
      </c>
      <c r="G1" s="108" t="s">
        <v>40</v>
      </c>
      <c r="H1" s="108" t="s">
        <v>66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B2" s="2">
        <v>1.0</v>
      </c>
      <c r="C2" s="91">
        <v>44896.0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2">
        <f>+AVERAGE(D2:D31)</f>
        <v>102.2523333</v>
      </c>
      <c r="J2" s="113">
        <f>+N2/B31</f>
        <v>149.1083333</v>
      </c>
      <c r="K2" s="114">
        <f t="shared" ref="K2:L2" si="1">+SUM(D2:D31)</f>
        <v>3067.57</v>
      </c>
      <c r="L2" s="113">
        <f t="shared" si="1"/>
        <v>52.95</v>
      </c>
      <c r="M2" s="113">
        <f>+SUM(H2:H31)</f>
        <v>1238.73</v>
      </c>
      <c r="N2" s="115">
        <f>+SUM(D2:H31)</f>
        <v>4473.25</v>
      </c>
    </row>
    <row r="3">
      <c r="B3" s="2">
        <v>2.0</v>
      </c>
      <c r="C3" s="91">
        <v>44897.0</v>
      </c>
      <c r="D3" s="111">
        <f>15+27+64.9</f>
        <v>106.9</v>
      </c>
      <c r="E3" s="111">
        <v>0.0</v>
      </c>
      <c r="F3" s="111">
        <v>0.0</v>
      </c>
      <c r="G3" s="111">
        <v>70.0</v>
      </c>
      <c r="H3" s="111">
        <f>92</f>
        <v>92</v>
      </c>
      <c r="N3" s="105"/>
    </row>
    <row r="4">
      <c r="B4" s="2">
        <v>3.0</v>
      </c>
      <c r="C4" s="91">
        <v>44898.0</v>
      </c>
      <c r="D4" s="111">
        <f>31.5+154</f>
        <v>185.5</v>
      </c>
      <c r="E4" s="111">
        <v>0.0</v>
      </c>
      <c r="F4" s="111">
        <v>0.0</v>
      </c>
      <c r="G4" s="111">
        <v>0.0</v>
      </c>
      <c r="H4" s="111">
        <v>0.0</v>
      </c>
    </row>
    <row r="5">
      <c r="B5" s="2">
        <v>4.0</v>
      </c>
      <c r="C5" s="91">
        <v>44899.0</v>
      </c>
      <c r="D5" s="111">
        <f>38</f>
        <v>38</v>
      </c>
      <c r="E5" s="111">
        <f>27.95</f>
        <v>27.95</v>
      </c>
      <c r="F5" s="111">
        <v>0.0</v>
      </c>
      <c r="G5" s="111">
        <v>0.0</v>
      </c>
      <c r="H5" s="111">
        <v>0.0</v>
      </c>
      <c r="R5" s="164" t="s">
        <v>89</v>
      </c>
    </row>
    <row r="6">
      <c r="B6" s="2">
        <v>5.0</v>
      </c>
      <c r="C6" s="91">
        <v>44900.0</v>
      </c>
      <c r="D6" s="111">
        <f>75.4</f>
        <v>75.4</v>
      </c>
      <c r="E6" s="111">
        <v>0.0</v>
      </c>
      <c r="F6" s="111">
        <v>0.0</v>
      </c>
      <c r="G6" s="111">
        <v>0.0</v>
      </c>
      <c r="H6" s="111">
        <f>7.9+103.33</f>
        <v>111.23</v>
      </c>
      <c r="R6" s="165"/>
    </row>
    <row r="7">
      <c r="B7" s="2">
        <v>6.0</v>
      </c>
      <c r="C7" s="91">
        <v>44901.0</v>
      </c>
      <c r="D7" s="111">
        <f>33.8+71.3</f>
        <v>105.1</v>
      </c>
      <c r="E7" s="111">
        <v>0.0</v>
      </c>
      <c r="F7" s="111">
        <v>0.0</v>
      </c>
      <c r="G7" s="111">
        <v>0.0</v>
      </c>
      <c r="H7" s="111">
        <f>5</f>
        <v>5</v>
      </c>
    </row>
    <row r="8">
      <c r="B8" s="2">
        <v>7.0</v>
      </c>
      <c r="C8" s="91">
        <v>44902.0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</row>
    <row r="9">
      <c r="B9" s="2">
        <v>8.0</v>
      </c>
      <c r="C9" s="91">
        <v>44903.0</v>
      </c>
      <c r="D9" s="111">
        <f>20.5+49.85+76.5+133</f>
        <v>279.85</v>
      </c>
      <c r="E9" s="111">
        <f>25</f>
        <v>25</v>
      </c>
      <c r="F9" s="111">
        <v>0.0</v>
      </c>
      <c r="G9" s="111">
        <v>0.0</v>
      </c>
      <c r="H9" s="111">
        <v>0.0</v>
      </c>
      <c r="J9" s="105"/>
      <c r="R9" s="166" t="s">
        <v>90</v>
      </c>
      <c r="S9" s="167" t="s">
        <v>91</v>
      </c>
    </row>
    <row r="10">
      <c r="B10" s="2">
        <v>9.0</v>
      </c>
      <c r="C10" s="91">
        <v>44904.0</v>
      </c>
      <c r="D10" s="111">
        <f>45.9</f>
        <v>45.9</v>
      </c>
      <c r="E10" s="111">
        <v>0.0</v>
      </c>
      <c r="F10" s="111">
        <v>0.0</v>
      </c>
      <c r="G10" s="111">
        <v>0.0</v>
      </c>
      <c r="H10" s="111">
        <v>0.0</v>
      </c>
      <c r="R10" s="168">
        <f>2000+360+275+120+3450+700+1650+3800+45+250+1500+2350+1300</f>
        <v>17800</v>
      </c>
      <c r="S10" s="169">
        <f>18500-R10</f>
        <v>700</v>
      </c>
    </row>
    <row r="11">
      <c r="B11" s="2">
        <v>10.0</v>
      </c>
      <c r="C11" s="91">
        <v>44905.0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</row>
    <row r="12">
      <c r="B12" s="2">
        <v>11.0</v>
      </c>
      <c r="C12" s="91">
        <v>44906.0</v>
      </c>
      <c r="D12" s="111">
        <f>41.87</f>
        <v>41.87</v>
      </c>
      <c r="E12" s="111">
        <v>0.0</v>
      </c>
      <c r="F12" s="111">
        <v>0.0</v>
      </c>
      <c r="G12" s="111">
        <v>0.0</v>
      </c>
      <c r="H12" s="111">
        <f>3.06+85.92</f>
        <v>88.98</v>
      </c>
    </row>
    <row r="13">
      <c r="B13" s="2">
        <v>12.0</v>
      </c>
      <c r="C13" s="91">
        <v>44907.0</v>
      </c>
      <c r="D13" s="111">
        <f>36.5+14.5</f>
        <v>51</v>
      </c>
      <c r="E13" s="111">
        <v>0.0</v>
      </c>
      <c r="F13" s="111">
        <v>0.0</v>
      </c>
      <c r="G13" s="111">
        <v>0.0</v>
      </c>
      <c r="H13" s="111">
        <v>0.0</v>
      </c>
    </row>
    <row r="14">
      <c r="B14" s="2">
        <v>13.0</v>
      </c>
      <c r="C14" s="91">
        <v>44908.0</v>
      </c>
      <c r="D14" s="111">
        <f>54+55.5+65.07+45.8</f>
        <v>220.37</v>
      </c>
      <c r="E14" s="111">
        <v>0.0</v>
      </c>
      <c r="F14" s="111">
        <v>0.0</v>
      </c>
      <c r="G14" s="111">
        <v>0.0</v>
      </c>
      <c r="H14" s="111">
        <v>0.0</v>
      </c>
    </row>
    <row r="15">
      <c r="B15" s="2">
        <v>14.0</v>
      </c>
      <c r="C15" s="91">
        <v>44909.0</v>
      </c>
      <c r="D15" s="111">
        <f>76.65</f>
        <v>76.65</v>
      </c>
      <c r="E15" s="111">
        <v>0.0</v>
      </c>
      <c r="F15" s="111">
        <v>0.0</v>
      </c>
      <c r="G15" s="111">
        <v>0.0</v>
      </c>
      <c r="H15" s="111">
        <v>0.0</v>
      </c>
    </row>
    <row r="16">
      <c r="B16" s="2">
        <v>15.0</v>
      </c>
      <c r="C16" s="91">
        <v>44910.0</v>
      </c>
      <c r="D16" s="111">
        <f>350</f>
        <v>350</v>
      </c>
      <c r="E16" s="111">
        <v>0.0</v>
      </c>
      <c r="F16" s="111">
        <v>0.0</v>
      </c>
      <c r="G16" s="111">
        <v>0.0</v>
      </c>
      <c r="H16" s="111">
        <v>0.0</v>
      </c>
    </row>
    <row r="17">
      <c r="B17" s="2">
        <v>16.0</v>
      </c>
      <c r="C17" s="91">
        <v>44911.0</v>
      </c>
      <c r="D17" s="111">
        <f>33.5+39.75+45.85</f>
        <v>119.1</v>
      </c>
      <c r="E17" s="111">
        <v>0.0</v>
      </c>
      <c r="F17" s="111">
        <v>0.0</v>
      </c>
      <c r="G17" s="111">
        <v>0.0</v>
      </c>
      <c r="H17" s="111">
        <f>55.5</f>
        <v>55.5</v>
      </c>
    </row>
    <row r="18">
      <c r="B18" s="2">
        <v>17.0</v>
      </c>
      <c r="C18" s="91">
        <v>44912.0</v>
      </c>
      <c r="D18" s="111">
        <f>72.9</f>
        <v>72.9</v>
      </c>
      <c r="E18" s="111">
        <v>0.0</v>
      </c>
      <c r="F18" s="111">
        <v>0.0</v>
      </c>
      <c r="G18" s="111">
        <v>0.0</v>
      </c>
      <c r="H18" s="111">
        <v>0.0</v>
      </c>
    </row>
    <row r="19">
      <c r="B19" s="2">
        <v>18.0</v>
      </c>
      <c r="C19" s="91">
        <v>44913.0</v>
      </c>
      <c r="D19" s="111">
        <f>118.5</f>
        <v>118.5</v>
      </c>
      <c r="E19" s="111">
        <v>0.0</v>
      </c>
      <c r="F19" s="111">
        <v>0.0</v>
      </c>
      <c r="G19" s="111">
        <v>0.0</v>
      </c>
      <c r="H19" s="111">
        <v>0.0</v>
      </c>
    </row>
    <row r="20">
      <c r="B20" s="2">
        <v>19.0</v>
      </c>
      <c r="C20" s="91">
        <v>44914.0</v>
      </c>
      <c r="D20" s="111">
        <f>21.5+127.9+165.26</f>
        <v>314.66</v>
      </c>
      <c r="E20" s="111">
        <v>0.0</v>
      </c>
      <c r="F20" s="111">
        <v>0.0</v>
      </c>
      <c r="G20" s="111">
        <f>44</f>
        <v>44</v>
      </c>
      <c r="H20" s="111">
        <f>60+108.33</f>
        <v>168.33</v>
      </c>
    </row>
    <row r="21" ht="15.75" customHeight="1">
      <c r="B21" s="2">
        <v>20.0</v>
      </c>
      <c r="C21" s="91">
        <v>44915.0</v>
      </c>
      <c r="D21" s="111">
        <f>70.5</f>
        <v>70.5</v>
      </c>
      <c r="E21" s="111">
        <v>0.0</v>
      </c>
      <c r="F21" s="111">
        <v>0.0</v>
      </c>
      <c r="G21" s="111">
        <v>0.0</v>
      </c>
      <c r="H21" s="111">
        <f>416.98+23.45+2.35+3.52</f>
        <v>446.3</v>
      </c>
    </row>
    <row r="22" ht="15.75" customHeight="1">
      <c r="B22" s="2">
        <v>21.0</v>
      </c>
      <c r="C22" s="91">
        <v>44916.0</v>
      </c>
      <c r="D22" s="111">
        <f>55.69</f>
        <v>55.69</v>
      </c>
      <c r="E22" s="111">
        <v>0.0</v>
      </c>
      <c r="F22" s="111">
        <v>0.0</v>
      </c>
      <c r="G22" s="111">
        <v>0.0</v>
      </c>
      <c r="H22" s="111">
        <f>9.9+149</f>
        <v>158.9</v>
      </c>
    </row>
    <row r="23" ht="15.75" customHeight="1">
      <c r="B23" s="2">
        <v>22.0</v>
      </c>
      <c r="C23" s="91">
        <v>44917.0</v>
      </c>
      <c r="D23" s="111">
        <v>0.0</v>
      </c>
      <c r="E23" s="111">
        <v>0.0</v>
      </c>
      <c r="F23" s="111">
        <v>0.0</v>
      </c>
      <c r="G23" s="111">
        <v>0.0</v>
      </c>
      <c r="H23" s="111">
        <v>0.0</v>
      </c>
    </row>
    <row r="24" ht="15.75" customHeight="1">
      <c r="B24" s="2">
        <v>23.0</v>
      </c>
      <c r="C24" s="91">
        <v>44918.0</v>
      </c>
      <c r="D24" s="111">
        <f>70.5</f>
        <v>70.5</v>
      </c>
      <c r="E24" s="111">
        <v>0.0</v>
      </c>
      <c r="F24" s="111">
        <v>0.0</v>
      </c>
      <c r="G24" s="111">
        <v>0.0</v>
      </c>
      <c r="H24" s="111">
        <v>0.0</v>
      </c>
    </row>
    <row r="25" ht="15.75" customHeight="1">
      <c r="B25" s="2">
        <v>24.0</v>
      </c>
      <c r="C25" s="91">
        <v>44919.0</v>
      </c>
      <c r="D25" s="111">
        <f>3+18.8+41+209+24</f>
        <v>295.8</v>
      </c>
      <c r="E25" s="111">
        <v>0.0</v>
      </c>
      <c r="F25" s="111">
        <v>0.0</v>
      </c>
      <c r="G25" s="111">
        <v>0.0</v>
      </c>
      <c r="H25" s="111">
        <v>0.0</v>
      </c>
    </row>
    <row r="26" ht="15.75" customHeight="1">
      <c r="B26" s="2">
        <v>25.0</v>
      </c>
      <c r="C26" s="91">
        <v>44920.0</v>
      </c>
      <c r="D26" s="111">
        <v>0.0</v>
      </c>
      <c r="E26" s="111">
        <v>0.0</v>
      </c>
      <c r="F26" s="111">
        <v>0.0</v>
      </c>
      <c r="G26" s="111">
        <v>0.0</v>
      </c>
      <c r="H26" s="111">
        <f>49.99</f>
        <v>49.99</v>
      </c>
    </row>
    <row r="27" ht="15.75" customHeight="1">
      <c r="B27" s="2">
        <v>26.0</v>
      </c>
      <c r="C27" s="91">
        <v>44921.0</v>
      </c>
      <c r="D27" s="111">
        <f>15.5+26.5+12.75</f>
        <v>54.75</v>
      </c>
      <c r="E27" s="111">
        <v>0.0</v>
      </c>
      <c r="F27" s="111">
        <v>0.0</v>
      </c>
      <c r="G27" s="111">
        <v>0.0</v>
      </c>
      <c r="H27" s="111">
        <v>0.0</v>
      </c>
    </row>
    <row r="28" ht="15.75" customHeight="1">
      <c r="B28" s="2">
        <v>27.0</v>
      </c>
      <c r="C28" s="91">
        <v>44922.0</v>
      </c>
      <c r="D28" s="111">
        <f>39.8+70.9</f>
        <v>110.7</v>
      </c>
      <c r="E28" s="111">
        <v>0.0</v>
      </c>
      <c r="F28" s="111">
        <v>0.0</v>
      </c>
      <c r="G28" s="111">
        <v>0.0</v>
      </c>
      <c r="H28" s="111">
        <v>0.0</v>
      </c>
    </row>
    <row r="29" ht="15.75" customHeight="1">
      <c r="B29" s="2">
        <v>28.0</v>
      </c>
      <c r="C29" s="91">
        <v>44923.0</v>
      </c>
      <c r="D29" s="111">
        <f>87.87+20.06</f>
        <v>107.93</v>
      </c>
      <c r="E29" s="111">
        <v>0.0</v>
      </c>
      <c r="F29" s="111">
        <v>0.0</v>
      </c>
      <c r="G29" s="111">
        <v>0.0</v>
      </c>
      <c r="H29" s="111">
        <f>62.5</f>
        <v>62.5</v>
      </c>
    </row>
    <row r="30" ht="15.75" customHeight="1">
      <c r="B30" s="2">
        <v>29.0</v>
      </c>
      <c r="C30" s="91">
        <v>44924.0</v>
      </c>
      <c r="D30" s="111">
        <f>21.5</f>
        <v>21.5</v>
      </c>
      <c r="E30" s="111">
        <v>0.0</v>
      </c>
      <c r="F30" s="111">
        <v>0.0</v>
      </c>
      <c r="G30" s="111">
        <v>0.0</v>
      </c>
      <c r="H30" s="111">
        <v>0.0</v>
      </c>
    </row>
    <row r="31" ht="15.75" customHeight="1">
      <c r="B31" s="2">
        <v>30.0</v>
      </c>
      <c r="C31" s="91">
        <v>44925.0</v>
      </c>
      <c r="D31" s="111">
        <f>78.5</f>
        <v>78.5</v>
      </c>
      <c r="E31" s="111">
        <v>0.0</v>
      </c>
      <c r="F31" s="111">
        <v>0.0</v>
      </c>
      <c r="G31" s="111">
        <v>0.0</v>
      </c>
      <c r="H31" s="111">
        <v>0.0</v>
      </c>
    </row>
    <row r="32" ht="15.75" customHeight="1">
      <c r="B32" s="2">
        <v>31.0</v>
      </c>
      <c r="C32" s="91">
        <v>44926.0</v>
      </c>
      <c r="D32" s="111">
        <v>0.0</v>
      </c>
      <c r="E32" s="111">
        <v>0.0</v>
      </c>
      <c r="F32" s="111">
        <v>0.0</v>
      </c>
      <c r="G32" s="111">
        <v>0.0</v>
      </c>
      <c r="H32" s="111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6.71"/>
    <col customWidth="1" min="5" max="5" width="8.43"/>
    <col customWidth="1" min="6" max="6" width="4.71"/>
    <col customWidth="1" min="7" max="7" width="5.71"/>
    <col customWidth="1" min="8" max="8" width="6.71"/>
    <col customWidth="1" min="9" max="9" width="12.86"/>
    <col customWidth="1" min="10" max="10" width="8.14"/>
    <col customWidth="1" min="11" max="11" width="9.14"/>
    <col customWidth="1" min="12" max="12" width="9.86"/>
    <col customWidth="1" min="13" max="14" width="7.71"/>
    <col customWidth="1" min="15" max="26" width="10.71"/>
  </cols>
  <sheetData>
    <row r="1">
      <c r="C1" s="106" t="s">
        <v>60</v>
      </c>
      <c r="D1" s="107" t="s">
        <v>35</v>
      </c>
      <c r="E1" s="108" t="s">
        <v>61</v>
      </c>
      <c r="F1" s="108" t="s">
        <v>62</v>
      </c>
      <c r="G1" s="108" t="s">
        <v>40</v>
      </c>
      <c r="H1" s="108" t="s">
        <v>66</v>
      </c>
      <c r="I1" s="110" t="s">
        <v>68</v>
      </c>
      <c r="J1" s="50" t="s">
        <v>69</v>
      </c>
      <c r="K1" s="110" t="s">
        <v>71</v>
      </c>
      <c r="L1" s="57" t="s">
        <v>74</v>
      </c>
      <c r="M1" s="57" t="s">
        <v>66</v>
      </c>
      <c r="N1" s="50" t="s">
        <v>45</v>
      </c>
    </row>
    <row r="2">
      <c r="B2" s="2">
        <v>1.0</v>
      </c>
      <c r="C2" s="91">
        <v>44866.0</v>
      </c>
      <c r="D2" s="111">
        <v>0.0</v>
      </c>
      <c r="E2" s="111">
        <v>0.0</v>
      </c>
      <c r="F2" s="111">
        <v>0.0</v>
      </c>
      <c r="G2" s="111">
        <v>0.0</v>
      </c>
      <c r="H2" s="111">
        <v>0.0</v>
      </c>
      <c r="I2" s="112">
        <f>+AVERAGE(D2:D31)</f>
        <v>109.4006667</v>
      </c>
      <c r="J2" s="113">
        <f>+N2/B31</f>
        <v>159.9223333</v>
      </c>
      <c r="K2" s="114">
        <f t="shared" ref="K2:L2" si="1">+SUM(D2:D31)</f>
        <v>3282.02</v>
      </c>
      <c r="L2" s="113">
        <f t="shared" si="1"/>
        <v>0</v>
      </c>
      <c r="M2" s="113">
        <f>+SUM(H2:H31)</f>
        <v>1404.15</v>
      </c>
      <c r="N2" s="115">
        <f>+SUM(D2:H31)</f>
        <v>4797.67</v>
      </c>
    </row>
    <row r="3">
      <c r="B3" s="2">
        <v>2.0</v>
      </c>
      <c r="C3" s="91">
        <v>44867.0</v>
      </c>
      <c r="D3" s="111">
        <f>81.15+20.45</f>
        <v>101.6</v>
      </c>
      <c r="E3" s="111">
        <v>0.0</v>
      </c>
      <c r="F3" s="111">
        <v>0.0</v>
      </c>
      <c r="G3" s="111">
        <f>67.5</f>
        <v>67.5</v>
      </c>
      <c r="H3" s="111">
        <f>206.5</f>
        <v>206.5</v>
      </c>
      <c r="N3" s="105"/>
    </row>
    <row r="4">
      <c r="B4" s="2">
        <v>3.0</v>
      </c>
      <c r="C4" s="91">
        <v>44868.0</v>
      </c>
      <c r="D4" s="111">
        <v>0.0</v>
      </c>
      <c r="E4" s="111">
        <v>0.0</v>
      </c>
      <c r="F4" s="111">
        <v>0.0</v>
      </c>
      <c r="G4" s="111">
        <v>0.0</v>
      </c>
      <c r="H4" s="111">
        <f>103.33</f>
        <v>103.33</v>
      </c>
    </row>
    <row r="5">
      <c r="B5" s="2">
        <v>4.0</v>
      </c>
      <c r="C5" s="91">
        <v>44869.0</v>
      </c>
      <c r="D5" s="111">
        <f>31.31</f>
        <v>31.31</v>
      </c>
      <c r="E5" s="111">
        <v>0.0</v>
      </c>
      <c r="F5" s="111">
        <v>0.0</v>
      </c>
      <c r="G5" s="111">
        <v>0.0</v>
      </c>
      <c r="H5" s="111">
        <v>0.0</v>
      </c>
      <c r="R5" s="164" t="s">
        <v>89</v>
      </c>
    </row>
    <row r="6">
      <c r="B6" s="2">
        <v>5.0</v>
      </c>
      <c r="C6" s="91">
        <v>44870.0</v>
      </c>
      <c r="D6" s="111">
        <f>18.59+52.99</f>
        <v>71.58</v>
      </c>
      <c r="E6" s="111">
        <v>0.0</v>
      </c>
      <c r="F6" s="111">
        <v>0.0</v>
      </c>
      <c r="G6" s="111">
        <v>0.0</v>
      </c>
      <c r="H6" s="111">
        <f>7.9+103.35</f>
        <v>111.25</v>
      </c>
      <c r="R6" s="165">
        <f>44+30</f>
        <v>74</v>
      </c>
    </row>
    <row r="7">
      <c r="B7" s="2">
        <v>6.0</v>
      </c>
      <c r="C7" s="91">
        <v>44871.0</v>
      </c>
      <c r="D7" s="111">
        <f>33.91+60.5</f>
        <v>94.41</v>
      </c>
      <c r="E7" s="111">
        <v>0.0</v>
      </c>
      <c r="F7" s="111">
        <v>0.0</v>
      </c>
      <c r="G7" s="111">
        <v>0.0</v>
      </c>
      <c r="H7" s="111">
        <v>0.0</v>
      </c>
    </row>
    <row r="8">
      <c r="B8" s="2">
        <v>7.0</v>
      </c>
      <c r="C8" s="91">
        <v>44872.0</v>
      </c>
      <c r="D8" s="111">
        <f>61.31+6.48+139.64+23.57</f>
        <v>231</v>
      </c>
      <c r="E8" s="111">
        <v>0.0</v>
      </c>
      <c r="F8" s="111">
        <v>0.0</v>
      </c>
      <c r="G8" s="111">
        <f>44</f>
        <v>44</v>
      </c>
      <c r="H8" s="111">
        <f>144.98</f>
        <v>144.98</v>
      </c>
    </row>
    <row r="9">
      <c r="B9" s="2">
        <v>8.0</v>
      </c>
      <c r="C9" s="91">
        <v>44873.0</v>
      </c>
      <c r="D9" s="111">
        <f>56.75+19.9</f>
        <v>76.65</v>
      </c>
      <c r="E9" s="111">
        <v>0.0</v>
      </c>
      <c r="F9" s="111">
        <v>0.0</v>
      </c>
      <c r="G9" s="111">
        <v>0.0</v>
      </c>
      <c r="H9" s="111">
        <v>0.0</v>
      </c>
      <c r="J9" s="105"/>
      <c r="R9" s="166" t="s">
        <v>90</v>
      </c>
      <c r="S9" s="167" t="s">
        <v>91</v>
      </c>
    </row>
    <row r="10">
      <c r="B10" s="2">
        <v>9.0</v>
      </c>
      <c r="C10" s="91">
        <v>44874.0</v>
      </c>
      <c r="D10" s="111">
        <f>21.96</f>
        <v>21.96</v>
      </c>
      <c r="E10" s="111">
        <v>0.0</v>
      </c>
      <c r="F10" s="111">
        <v>0.0</v>
      </c>
      <c r="G10" s="111">
        <v>0.0</v>
      </c>
      <c r="H10" s="111">
        <v>0.0</v>
      </c>
      <c r="R10" s="168">
        <f>2000+360+275+120+3450+700+1650+3800+45+250+1500+2350</f>
        <v>16500</v>
      </c>
      <c r="S10" s="169">
        <f>18500-R10</f>
        <v>2000</v>
      </c>
    </row>
    <row r="11">
      <c r="B11" s="2">
        <v>10.0</v>
      </c>
      <c r="C11" s="91">
        <v>44875.0</v>
      </c>
      <c r="D11" s="111">
        <f>8+149.9+27</f>
        <v>184.9</v>
      </c>
      <c r="E11" s="111">
        <v>0.0</v>
      </c>
      <c r="F11" s="111">
        <v>0.0</v>
      </c>
      <c r="G11" s="111">
        <v>0.0</v>
      </c>
      <c r="H11" s="111">
        <v>0.0</v>
      </c>
    </row>
    <row r="12">
      <c r="B12" s="2">
        <v>11.0</v>
      </c>
      <c r="C12" s="91">
        <v>44876.0</v>
      </c>
      <c r="D12" s="111">
        <f>67.5+35.65</f>
        <v>103.15</v>
      </c>
      <c r="E12" s="111">
        <v>0.0</v>
      </c>
      <c r="F12" s="111">
        <v>0.0</v>
      </c>
      <c r="G12" s="111">
        <v>0.0</v>
      </c>
      <c r="H12" s="111">
        <f>49.99+80.77</f>
        <v>130.76</v>
      </c>
    </row>
    <row r="13">
      <c r="B13" s="2">
        <v>12.0</v>
      </c>
      <c r="C13" s="91">
        <v>44877.0</v>
      </c>
      <c r="D13" s="111">
        <v>0.0</v>
      </c>
      <c r="E13" s="111">
        <v>0.0</v>
      </c>
      <c r="F13" s="111">
        <v>0.0</v>
      </c>
      <c r="G13" s="111">
        <v>0.0</v>
      </c>
      <c r="H13" s="111">
        <v>0.0</v>
      </c>
    </row>
    <row r="14">
      <c r="B14" s="2">
        <v>13.0</v>
      </c>
      <c r="C14" s="91">
        <v>44878.0</v>
      </c>
      <c r="D14" s="111">
        <f>152+15.5</f>
        <v>167.5</v>
      </c>
      <c r="E14" s="111">
        <v>0.0</v>
      </c>
      <c r="F14" s="111">
        <v>0.0</v>
      </c>
      <c r="G14" s="111">
        <v>0.0</v>
      </c>
      <c r="H14" s="111">
        <v>0.0</v>
      </c>
    </row>
    <row r="15">
      <c r="B15" s="2">
        <v>14.0</v>
      </c>
      <c r="C15" s="91">
        <v>44879.0</v>
      </c>
      <c r="D15" s="111">
        <f>35</f>
        <v>35</v>
      </c>
      <c r="E15" s="111">
        <v>0.0</v>
      </c>
      <c r="F15" s="111">
        <v>0.0</v>
      </c>
      <c r="G15" s="111">
        <v>0.0</v>
      </c>
      <c r="H15" s="111">
        <f>63</f>
        <v>63</v>
      </c>
    </row>
    <row r="16">
      <c r="B16" s="2">
        <v>15.0</v>
      </c>
      <c r="C16" s="91">
        <v>44880.0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</row>
    <row r="17">
      <c r="B17" s="2">
        <v>16.0</v>
      </c>
      <c r="C17" s="91">
        <v>44881.0</v>
      </c>
      <c r="D17" s="111">
        <f>37.9+263.6+103.4</f>
        <v>404.9</v>
      </c>
      <c r="E17" s="111">
        <v>0.0</v>
      </c>
      <c r="F17" s="111">
        <v>0.0</v>
      </c>
      <c r="G17" s="111">
        <v>0.0</v>
      </c>
      <c r="H17" s="111">
        <v>29.0</v>
      </c>
    </row>
    <row r="18">
      <c r="B18" s="2">
        <v>17.0</v>
      </c>
      <c r="C18" s="91">
        <v>44882.0</v>
      </c>
      <c r="D18" s="111">
        <f>25+113.25</f>
        <v>138.25</v>
      </c>
      <c r="E18" s="111">
        <v>0.0</v>
      </c>
      <c r="F18" s="111">
        <v>0.0</v>
      </c>
      <c r="G18" s="111">
        <v>0.0</v>
      </c>
      <c r="H18" s="111">
        <v>68.98</v>
      </c>
    </row>
    <row r="19">
      <c r="B19" s="2">
        <v>18.0</v>
      </c>
      <c r="C19" s="91">
        <v>44883.0</v>
      </c>
      <c r="D19" s="111">
        <v>0.0</v>
      </c>
      <c r="E19" s="111">
        <v>0.0</v>
      </c>
      <c r="F19" s="111">
        <v>0.0</v>
      </c>
      <c r="G19" s="111">
        <v>0.0</v>
      </c>
      <c r="H19" s="111">
        <v>0.0</v>
      </c>
    </row>
    <row r="20">
      <c r="B20" s="2">
        <v>19.0</v>
      </c>
      <c r="C20" s="91">
        <v>44884.0</v>
      </c>
      <c r="D20" s="111">
        <f>25.75</f>
        <v>25.75</v>
      </c>
      <c r="E20" s="111">
        <v>0.0</v>
      </c>
      <c r="F20" s="111">
        <v>0.0</v>
      </c>
      <c r="G20" s="111">
        <v>0.0</v>
      </c>
      <c r="H20" s="111">
        <f>108.34</f>
        <v>108.34</v>
      </c>
    </row>
    <row r="21" ht="15.75" customHeight="1">
      <c r="B21" s="2">
        <v>20.0</v>
      </c>
      <c r="C21" s="91">
        <v>44885.0</v>
      </c>
      <c r="D21" s="111">
        <f>62.5+58+12.92</f>
        <v>133.42</v>
      </c>
      <c r="E21" s="111">
        <v>0.0</v>
      </c>
      <c r="F21" s="111">
        <v>0.0</v>
      </c>
      <c r="G21" s="111">
        <v>0.0</v>
      </c>
      <c r="H21" s="111">
        <f>11</f>
        <v>11</v>
      </c>
    </row>
    <row r="22" ht="15.75" customHeight="1">
      <c r="B22" s="2">
        <v>21.0</v>
      </c>
      <c r="C22" s="91">
        <v>44886.0</v>
      </c>
      <c r="D22" s="111">
        <f>21.81+16.5+108.8</f>
        <v>147.11</v>
      </c>
      <c r="E22" s="111">
        <v>0.0</v>
      </c>
      <c r="F22" s="111">
        <v>0.0</v>
      </c>
      <c r="G22" s="111">
        <v>0.0</v>
      </c>
      <c r="H22" s="111">
        <f>49.99+129.9</f>
        <v>179.89</v>
      </c>
    </row>
    <row r="23" ht="15.75" customHeight="1">
      <c r="B23" s="2">
        <v>22.0</v>
      </c>
      <c r="C23" s="91">
        <v>44887.0</v>
      </c>
      <c r="D23" s="111">
        <v>0.0</v>
      </c>
      <c r="E23" s="111">
        <v>0.0</v>
      </c>
      <c r="F23" s="111">
        <v>0.0</v>
      </c>
      <c r="G23" s="111">
        <v>0.0</v>
      </c>
      <c r="H23" s="111">
        <f>17.7</f>
        <v>17.7</v>
      </c>
    </row>
    <row r="24" ht="15.75" customHeight="1">
      <c r="B24" s="2">
        <v>23.0</v>
      </c>
      <c r="C24" s="91">
        <v>44888.0</v>
      </c>
      <c r="D24" s="111">
        <f>58</f>
        <v>58</v>
      </c>
      <c r="E24" s="111">
        <v>0.0</v>
      </c>
      <c r="F24" s="111">
        <v>0.0</v>
      </c>
      <c r="G24" s="111">
        <v>0.0</v>
      </c>
      <c r="H24" s="111">
        <v>0.0</v>
      </c>
    </row>
    <row r="25" ht="15.75" customHeight="1">
      <c r="B25" s="2">
        <v>24.0</v>
      </c>
      <c r="C25" s="91">
        <v>44889.0</v>
      </c>
      <c r="D25" s="111">
        <f>21.5+24.5</f>
        <v>46</v>
      </c>
      <c r="E25" s="111">
        <v>0.0</v>
      </c>
      <c r="F25" s="111">
        <v>0.0</v>
      </c>
      <c r="G25" s="111">
        <v>0.0</v>
      </c>
      <c r="H25" s="111">
        <v>0.0</v>
      </c>
    </row>
    <row r="26" ht="15.75" customHeight="1">
      <c r="B26" s="2">
        <v>25.0</v>
      </c>
      <c r="C26" s="91">
        <v>44890.0</v>
      </c>
      <c r="D26" s="111">
        <f>128+85.5</f>
        <v>213.5</v>
      </c>
      <c r="E26" s="111">
        <v>0.0</v>
      </c>
      <c r="F26" s="111">
        <v>0.0</v>
      </c>
      <c r="G26" s="111">
        <v>0.0</v>
      </c>
      <c r="H26" s="111">
        <v>0.0</v>
      </c>
    </row>
    <row r="27" ht="15.75" customHeight="1">
      <c r="B27" s="2">
        <v>26.0</v>
      </c>
      <c r="C27" s="91">
        <v>44891.0</v>
      </c>
      <c r="D27" s="111">
        <f>11.5+221</f>
        <v>232.5</v>
      </c>
      <c r="E27" s="111">
        <v>0.0</v>
      </c>
      <c r="F27" s="111">
        <v>0.0</v>
      </c>
      <c r="G27" s="111">
        <v>0.0</v>
      </c>
      <c r="H27" s="111">
        <v>0.0</v>
      </c>
    </row>
    <row r="28" ht="15.75" customHeight="1">
      <c r="B28" s="2">
        <v>27.0</v>
      </c>
      <c r="C28" s="91">
        <v>44892.0</v>
      </c>
      <c r="D28" s="111">
        <f>99+140+48.75</f>
        <v>287.75</v>
      </c>
      <c r="E28" s="111">
        <v>0.0</v>
      </c>
      <c r="F28" s="111">
        <v>0.0</v>
      </c>
      <c r="G28" s="111">
        <v>0.0</v>
      </c>
      <c r="H28" s="111">
        <v>0.0</v>
      </c>
    </row>
    <row r="29" ht="15.75" customHeight="1">
      <c r="B29" s="2">
        <v>28.0</v>
      </c>
      <c r="C29" s="91">
        <v>44893.0</v>
      </c>
      <c r="D29" s="111">
        <f>38.5+172+48</f>
        <v>258.5</v>
      </c>
      <c r="E29" s="111">
        <v>0.0</v>
      </c>
      <c r="F29" s="111">
        <v>0.0</v>
      </c>
      <c r="G29" s="111">
        <v>0.0</v>
      </c>
      <c r="H29" s="111">
        <f>24</f>
        <v>24</v>
      </c>
    </row>
    <row r="30" ht="15.75" customHeight="1">
      <c r="B30" s="2">
        <v>29.0</v>
      </c>
      <c r="C30" s="91">
        <v>44894.0</v>
      </c>
      <c r="D30" s="111">
        <f>28.03</f>
        <v>28.03</v>
      </c>
      <c r="E30" s="111">
        <v>0.0</v>
      </c>
      <c r="F30" s="111">
        <v>0.0</v>
      </c>
      <c r="G30" s="111">
        <v>0.0</v>
      </c>
      <c r="H30" s="111">
        <v>0.0</v>
      </c>
    </row>
    <row r="31" ht="15.75" customHeight="1">
      <c r="B31" s="2">
        <v>30.0</v>
      </c>
      <c r="C31" s="91">
        <v>44895.0</v>
      </c>
      <c r="D31" s="111">
        <f>48+141.25</f>
        <v>189.25</v>
      </c>
      <c r="E31" s="111">
        <v>0.0</v>
      </c>
      <c r="F31" s="111">
        <v>0.0</v>
      </c>
      <c r="G31" s="111">
        <v>0.0</v>
      </c>
      <c r="H31" s="111">
        <f>205.42</f>
        <v>205.42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11.71"/>
    <col customWidth="1" min="5" max="5" width="7.14"/>
    <col customWidth="1" min="6" max="6" width="7.43"/>
    <col customWidth="1" min="7" max="7" width="8.86"/>
    <col customWidth="1" min="8" max="8" width="4.86"/>
    <col customWidth="1" min="9" max="10" width="7.14"/>
    <col customWidth="1" min="11" max="11" width="15.86"/>
    <col customWidth="1" min="12" max="12" width="8.86"/>
    <col customWidth="1" min="13" max="13" width="9.86"/>
    <col customWidth="1" min="14" max="14" width="10.86"/>
    <col customWidth="1" min="15" max="15" width="7.14"/>
    <col customWidth="1" min="16" max="16" width="8.14"/>
    <col customWidth="1" min="17" max="19" width="8.86"/>
    <col customWidth="1" min="20" max="20" width="10.86"/>
    <col customWidth="1" min="21" max="26" width="8.86"/>
  </cols>
  <sheetData>
    <row r="1">
      <c r="D1" s="106" t="s">
        <v>60</v>
      </c>
      <c r="E1" s="107" t="s">
        <v>35</v>
      </c>
      <c r="F1" s="107" t="s">
        <v>34</v>
      </c>
      <c r="G1" s="108" t="s">
        <v>61</v>
      </c>
      <c r="H1" s="108" t="s">
        <v>62</v>
      </c>
      <c r="I1" s="108" t="s">
        <v>40</v>
      </c>
      <c r="J1" s="108" t="s">
        <v>66</v>
      </c>
      <c r="K1" s="110" t="s">
        <v>68</v>
      </c>
      <c r="L1" s="50" t="s">
        <v>69</v>
      </c>
      <c r="M1" s="110" t="s">
        <v>71</v>
      </c>
      <c r="N1" s="57" t="s">
        <v>74</v>
      </c>
      <c r="O1" s="57" t="s">
        <v>66</v>
      </c>
      <c r="P1" s="50" t="s">
        <v>45</v>
      </c>
    </row>
    <row r="2">
      <c r="C2" s="2">
        <v>1.0</v>
      </c>
      <c r="D2" s="91">
        <v>44835.0</v>
      </c>
      <c r="E2" s="111">
        <f>720+225</f>
        <v>945</v>
      </c>
      <c r="F2" s="111">
        <v>0.0</v>
      </c>
      <c r="G2" s="111">
        <v>0.0</v>
      </c>
      <c r="H2" s="111">
        <v>0.0</v>
      </c>
      <c r="I2" s="111">
        <v>0.0</v>
      </c>
      <c r="J2" s="111">
        <v>0.0</v>
      </c>
      <c r="K2" s="112">
        <f>+AVERAGE(E2:E31)</f>
        <v>168.18</v>
      </c>
      <c r="L2" s="113">
        <f>+P2/C31</f>
        <v>225.6266667</v>
      </c>
      <c r="M2" s="113">
        <f>+SUM(E2:E31)</f>
        <v>5045.4</v>
      </c>
      <c r="N2" s="113">
        <f>+SUM(G2:G31)</f>
        <v>0</v>
      </c>
      <c r="O2" s="113">
        <f>+SUM(J2:J31)</f>
        <v>1504.15</v>
      </c>
      <c r="P2" s="113">
        <f>+SUM(E2:J31)</f>
        <v>6768.8</v>
      </c>
    </row>
    <row r="3">
      <c r="C3" s="2">
        <v>2.0</v>
      </c>
      <c r="D3" s="91">
        <v>44836.0</v>
      </c>
      <c r="E3" s="111">
        <f>190+206.5+290+24</f>
        <v>710.5</v>
      </c>
      <c r="F3" s="111">
        <v>0.0</v>
      </c>
      <c r="G3" s="111">
        <v>0.0</v>
      </c>
      <c r="H3" s="111">
        <v>0.0</v>
      </c>
      <c r="I3" s="111">
        <v>0.0</v>
      </c>
      <c r="J3" s="111">
        <v>0.0</v>
      </c>
      <c r="P3" s="105"/>
    </row>
    <row r="4">
      <c r="C4" s="2">
        <v>3.0</v>
      </c>
      <c r="D4" s="91">
        <v>44837.0</v>
      </c>
      <c r="E4" s="111">
        <v>0.0</v>
      </c>
      <c r="F4" s="111">
        <v>0.0</v>
      </c>
      <c r="G4" s="111">
        <v>0.0</v>
      </c>
      <c r="H4" s="111">
        <v>0.0</v>
      </c>
      <c r="I4" s="111">
        <f>67.25</f>
        <v>67.25</v>
      </c>
      <c r="J4" s="111">
        <f>103.33</f>
        <v>103.33</v>
      </c>
    </row>
    <row r="5">
      <c r="C5" s="2">
        <v>4.0</v>
      </c>
      <c r="D5" s="91">
        <v>44838.0</v>
      </c>
      <c r="E5" s="111">
        <f>154.25+40.5</f>
        <v>194.75</v>
      </c>
      <c r="F5" s="111">
        <v>0.0</v>
      </c>
      <c r="G5" s="111">
        <v>0.0</v>
      </c>
      <c r="H5" s="111">
        <v>0.0</v>
      </c>
      <c r="I5" s="111">
        <v>0.0</v>
      </c>
      <c r="J5" s="111">
        <v>0.0</v>
      </c>
      <c r="T5" s="164" t="s">
        <v>89</v>
      </c>
    </row>
    <row r="6">
      <c r="C6" s="2">
        <v>5.0</v>
      </c>
      <c r="D6" s="91">
        <v>44839.0</v>
      </c>
      <c r="E6" s="111">
        <f>51.7+7.36</f>
        <v>59.06</v>
      </c>
      <c r="F6" s="111">
        <v>0.0</v>
      </c>
      <c r="G6" s="111">
        <v>0.0</v>
      </c>
      <c r="H6" s="111">
        <v>0.0</v>
      </c>
      <c r="I6" s="111">
        <v>0.0</v>
      </c>
      <c r="J6" s="111">
        <f>7.9</f>
        <v>7.9</v>
      </c>
      <c r="T6" s="165">
        <f>-45</f>
        <v>-45</v>
      </c>
    </row>
    <row r="7">
      <c r="C7" s="2">
        <v>6.0</v>
      </c>
      <c r="D7" s="91">
        <v>44840.0</v>
      </c>
      <c r="E7" s="111">
        <f>22.25+61+250</f>
        <v>333.25</v>
      </c>
      <c r="F7" s="111">
        <v>0.0</v>
      </c>
      <c r="G7" s="111">
        <v>0.0</v>
      </c>
      <c r="H7" s="111">
        <v>0.0</v>
      </c>
      <c r="I7" s="111">
        <v>0.0</v>
      </c>
      <c r="J7" s="111">
        <v>0.0</v>
      </c>
    </row>
    <row r="8">
      <c r="C8" s="2">
        <v>7.0</v>
      </c>
      <c r="D8" s="91">
        <v>44841.0</v>
      </c>
      <c r="E8" s="111">
        <f>101.76+86</f>
        <v>187.76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</row>
    <row r="9">
      <c r="C9" s="2">
        <v>8.0</v>
      </c>
      <c r="D9" s="91">
        <v>44842.0</v>
      </c>
      <c r="E9" s="111">
        <f>155+90+61.22</f>
        <v>306.22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L9" s="105"/>
      <c r="T9" s="166" t="s">
        <v>90</v>
      </c>
      <c r="U9" s="167" t="s">
        <v>91</v>
      </c>
    </row>
    <row r="10">
      <c r="C10" s="2">
        <v>9.0</v>
      </c>
      <c r="D10" s="91">
        <v>44843.0</v>
      </c>
      <c r="E10" s="111">
        <f>94.8</f>
        <v>94.8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T10" s="168">
        <f>2000+360+275+120+3450</f>
        <v>6205</v>
      </c>
      <c r="U10" s="169">
        <f>18500-T10</f>
        <v>12295</v>
      </c>
    </row>
    <row r="11">
      <c r="C11" s="2">
        <v>10.0</v>
      </c>
      <c r="D11" s="91">
        <v>44844.0</v>
      </c>
      <c r="E11" s="111">
        <f>103.54+15.77+23.75+13.5</f>
        <v>156.56</v>
      </c>
      <c r="F11" s="111">
        <v>0.0</v>
      </c>
      <c r="G11" s="111">
        <v>0.0</v>
      </c>
      <c r="H11" s="111">
        <v>0.0</v>
      </c>
      <c r="I11" s="111">
        <v>0.0</v>
      </c>
      <c r="J11" s="111">
        <f>7.5</f>
        <v>7.5</v>
      </c>
    </row>
    <row r="12">
      <c r="C12" s="2">
        <v>11.0</v>
      </c>
      <c r="D12" s="91">
        <v>44845.0</v>
      </c>
      <c r="E12" s="111">
        <f>36.5+80+9.75+14.51</f>
        <v>140.76</v>
      </c>
      <c r="F12" s="111">
        <v>0.0</v>
      </c>
      <c r="G12" s="111">
        <v>0.0</v>
      </c>
      <c r="H12" s="111">
        <v>0.0</v>
      </c>
      <c r="I12" s="111">
        <v>0.0</v>
      </c>
      <c r="J12" s="111">
        <v>0.0</v>
      </c>
    </row>
    <row r="13">
      <c r="C13" s="2">
        <v>12.0</v>
      </c>
      <c r="D13" s="91">
        <v>44846.0</v>
      </c>
      <c r="E13" s="111">
        <f>78.73+83.87+19.58+29</f>
        <v>211.18</v>
      </c>
      <c r="F13" s="111">
        <v>0.0</v>
      </c>
      <c r="G13" s="111">
        <v>0.0</v>
      </c>
      <c r="H13" s="111">
        <v>0.0</v>
      </c>
      <c r="I13" s="111">
        <v>0.0</v>
      </c>
      <c r="J13" s="111">
        <v>0.0</v>
      </c>
    </row>
    <row r="14">
      <c r="C14" s="2">
        <v>13.0</v>
      </c>
      <c r="D14" s="91">
        <v>44847.0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111">
        <v>0.0</v>
      </c>
    </row>
    <row r="15">
      <c r="C15" s="2">
        <v>14.0</v>
      </c>
      <c r="D15" s="91">
        <v>44848.0</v>
      </c>
      <c r="E15" s="111">
        <f>47.95+84.81</f>
        <v>132.76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</row>
    <row r="16">
      <c r="C16" s="2">
        <v>15.0</v>
      </c>
      <c r="D16" s="91">
        <v>44849.0</v>
      </c>
      <c r="E16" s="111">
        <f>6+98+56.45+59.25</f>
        <v>219.7</v>
      </c>
      <c r="F16" s="111">
        <v>0.0</v>
      </c>
      <c r="G16" s="111">
        <v>0.0</v>
      </c>
      <c r="H16" s="111">
        <v>0.0</v>
      </c>
      <c r="I16" s="111">
        <v>0.0</v>
      </c>
      <c r="J16" s="111">
        <v>0.0</v>
      </c>
    </row>
    <row r="17">
      <c r="C17" s="2">
        <v>16.0</v>
      </c>
      <c r="D17" s="91">
        <v>44850.0</v>
      </c>
      <c r="E17" s="111">
        <f>24+79.04+74</f>
        <v>177.04</v>
      </c>
      <c r="F17" s="111">
        <v>0.0</v>
      </c>
      <c r="G17" s="111">
        <v>0.0</v>
      </c>
      <c r="H17" s="111">
        <v>0.0</v>
      </c>
      <c r="I17" s="111">
        <f>44</f>
        <v>44</v>
      </c>
      <c r="J17" s="111">
        <f>131.8</f>
        <v>131.8</v>
      </c>
    </row>
    <row r="18">
      <c r="C18" s="2">
        <v>17.0</v>
      </c>
      <c r="D18" s="91">
        <v>44851.0</v>
      </c>
      <c r="E18" s="111">
        <f>12</f>
        <v>12</v>
      </c>
      <c r="F18" s="111">
        <v>0.0</v>
      </c>
      <c r="G18" s="111">
        <v>0.0</v>
      </c>
      <c r="H18" s="111">
        <v>0.0</v>
      </c>
      <c r="I18" s="170">
        <v>0.0</v>
      </c>
      <c r="J18" s="111">
        <v>0.0</v>
      </c>
    </row>
    <row r="19">
      <c r="C19" s="2">
        <v>18.0</v>
      </c>
      <c r="D19" s="91">
        <v>44852.0</v>
      </c>
      <c r="E19" s="111">
        <f>44.16+27.75</f>
        <v>71.91</v>
      </c>
      <c r="F19" s="111">
        <f>108</f>
        <v>108</v>
      </c>
      <c r="G19" s="111">
        <v>0.0</v>
      </c>
      <c r="H19" s="111">
        <v>0.0</v>
      </c>
      <c r="I19" s="111">
        <v>0.0</v>
      </c>
      <c r="J19" s="111">
        <v>0.0</v>
      </c>
    </row>
    <row r="20">
      <c r="C20" s="2">
        <v>19.0</v>
      </c>
      <c r="D20" s="91">
        <v>44853.0</v>
      </c>
      <c r="E20" s="111">
        <f>26.5+51</f>
        <v>77.5</v>
      </c>
      <c r="F20" s="111">
        <v>0.0</v>
      </c>
      <c r="G20" s="111">
        <v>0.0</v>
      </c>
      <c r="H20" s="111">
        <v>0.0</v>
      </c>
      <c r="I20" s="111">
        <v>0.0</v>
      </c>
      <c r="J20" s="111">
        <f>108.07</f>
        <v>108.07</v>
      </c>
    </row>
    <row r="21" ht="15.75" customHeight="1">
      <c r="C21" s="2">
        <v>20.0</v>
      </c>
      <c r="D21" s="91">
        <v>44854.0</v>
      </c>
      <c r="E21" s="111">
        <f>31.5</f>
        <v>31.5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</row>
    <row r="22" ht="15.75" customHeight="1">
      <c r="C22" s="2">
        <v>21.0</v>
      </c>
      <c r="D22" s="91">
        <v>44855.0</v>
      </c>
      <c r="E22" s="111">
        <f>53+20.85+13.5</f>
        <v>87.35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</row>
    <row r="23" ht="15.75" customHeight="1">
      <c r="C23" s="2">
        <v>22.0</v>
      </c>
      <c r="D23" s="91">
        <v>44856.0</v>
      </c>
      <c r="E23" s="111">
        <f>33.5+39.75</f>
        <v>73.25</v>
      </c>
      <c r="F23" s="111">
        <v>0.0</v>
      </c>
      <c r="G23" s="111">
        <v>0.0</v>
      </c>
      <c r="H23" s="111">
        <v>0.0</v>
      </c>
      <c r="I23" s="111">
        <v>0.0</v>
      </c>
      <c r="J23" s="111">
        <f>101</f>
        <v>101</v>
      </c>
    </row>
    <row r="24" ht="15.75" customHeight="1">
      <c r="C24" s="2">
        <v>23.0</v>
      </c>
      <c r="D24" s="91">
        <v>44857.0</v>
      </c>
      <c r="E24" s="111">
        <f>154+119.74+39.17</f>
        <v>312.91</v>
      </c>
      <c r="F24" s="111">
        <v>0.0</v>
      </c>
      <c r="G24" s="111">
        <v>0.0</v>
      </c>
      <c r="H24" s="111">
        <v>0.0</v>
      </c>
      <c r="I24" s="111">
        <v>0.0</v>
      </c>
      <c r="J24" s="111">
        <f>109.9</f>
        <v>109.9</v>
      </c>
    </row>
    <row r="25" ht="15.75" customHeight="1">
      <c r="C25" s="2">
        <v>24.0</v>
      </c>
      <c r="D25" s="91">
        <v>44858.0</v>
      </c>
      <c r="E25" s="111">
        <f>15.16+59.46</f>
        <v>74.62</v>
      </c>
      <c r="F25" s="111">
        <v>0.0</v>
      </c>
      <c r="G25" s="111">
        <v>0.0</v>
      </c>
      <c r="H25" s="111">
        <v>0.0</v>
      </c>
      <c r="I25" s="111">
        <v>0.0</v>
      </c>
      <c r="J25" s="111">
        <v>0.0</v>
      </c>
    </row>
    <row r="26" ht="15.75" customHeight="1">
      <c r="C26" s="2">
        <v>25.0</v>
      </c>
      <c r="D26" s="91">
        <v>44859.0</v>
      </c>
      <c r="E26" s="111">
        <f>17.75+63.2</f>
        <v>80.95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</row>
    <row r="27" ht="15.75" customHeight="1">
      <c r="C27" s="2">
        <v>26.0</v>
      </c>
      <c r="D27" s="91">
        <v>44860.0</v>
      </c>
      <c r="E27" s="111">
        <v>0.0</v>
      </c>
      <c r="F27" s="111">
        <v>0.0</v>
      </c>
      <c r="G27" s="111">
        <v>0.0</v>
      </c>
      <c r="H27" s="111">
        <v>0.0</v>
      </c>
      <c r="I27" s="111">
        <v>0.0</v>
      </c>
      <c r="J27" s="111">
        <v>0.0</v>
      </c>
    </row>
    <row r="28" ht="15.75" customHeight="1">
      <c r="C28" s="2">
        <v>27.0</v>
      </c>
      <c r="D28" s="91">
        <v>44861.0</v>
      </c>
      <c r="E28" s="111">
        <f>26.59</f>
        <v>26.59</v>
      </c>
      <c r="F28" s="111">
        <v>0.0</v>
      </c>
      <c r="G28" s="111">
        <v>0.0</v>
      </c>
      <c r="H28" s="111">
        <v>0.0</v>
      </c>
      <c r="I28" s="111">
        <v>0.0</v>
      </c>
      <c r="J28" s="111">
        <v>0.0</v>
      </c>
    </row>
    <row r="29" ht="15.75" customHeight="1">
      <c r="C29" s="2">
        <v>28.0</v>
      </c>
      <c r="D29" s="91">
        <v>44862.0</v>
      </c>
      <c r="E29" s="111">
        <f>49.1+36.5</f>
        <v>85.6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</row>
    <row r="30" ht="15.75" customHeight="1">
      <c r="C30" s="2">
        <v>29.0</v>
      </c>
      <c r="D30" s="91">
        <v>44863.0</v>
      </c>
      <c r="E30" s="111">
        <f>17.5+72.25+58.2</f>
        <v>147.95</v>
      </c>
      <c r="F30" s="111">
        <v>0.0</v>
      </c>
      <c r="G30" s="111">
        <v>0.0</v>
      </c>
      <c r="H30" s="111">
        <v>0.0</v>
      </c>
      <c r="I30" s="111">
        <v>0.0</v>
      </c>
      <c r="J30" s="111">
        <f>934.65</f>
        <v>934.65</v>
      </c>
    </row>
    <row r="31" ht="15.75" customHeight="1">
      <c r="C31" s="2">
        <v>30.0</v>
      </c>
      <c r="D31" s="91">
        <v>44864.0</v>
      </c>
      <c r="E31" s="111">
        <f>10.08+40.95+33+9.9</f>
        <v>93.93</v>
      </c>
      <c r="F31" s="111">
        <v>0.0</v>
      </c>
      <c r="G31" s="111">
        <v>0.0</v>
      </c>
      <c r="H31" s="111">
        <v>0.0</v>
      </c>
      <c r="I31" s="111">
        <v>0.0</v>
      </c>
      <c r="J31" s="111">
        <v>0.0</v>
      </c>
    </row>
    <row r="32" ht="15.75" customHeight="1">
      <c r="C32" s="2">
        <v>31.0</v>
      </c>
      <c r="D32" s="91">
        <v>44865.0</v>
      </c>
      <c r="E32" s="111">
        <f>35.25</f>
        <v>35.25</v>
      </c>
      <c r="F32" s="111">
        <v>0.0</v>
      </c>
      <c r="G32" s="111">
        <v>0.0</v>
      </c>
      <c r="H32" s="111">
        <v>0.0</v>
      </c>
      <c r="I32" s="111">
        <v>0.0</v>
      </c>
      <c r="J32" s="111">
        <f>100</f>
        <v>100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2" width="8.86"/>
    <col customWidth="1" min="3" max="3" width="9.43"/>
    <col customWidth="1" min="4" max="8" width="8.86"/>
    <col customWidth="1" min="9" max="9" width="14.29"/>
    <col customWidth="1" min="10" max="10" width="8.86"/>
    <col customWidth="1" min="11" max="11" width="11.43"/>
    <col customWidth="1" min="12" max="12" width="11.0"/>
    <col customWidth="1" min="13" max="19" width="8.86"/>
    <col customWidth="1" min="20" max="20" width="10.86"/>
    <col customWidth="1" min="21" max="26" width="8.86"/>
  </cols>
  <sheetData>
    <row r="1">
      <c r="C1" s="106" t="s">
        <v>60</v>
      </c>
      <c r="D1" s="107" t="s">
        <v>35</v>
      </c>
      <c r="E1" s="108" t="s">
        <v>61</v>
      </c>
      <c r="F1" s="108" t="s">
        <v>62</v>
      </c>
      <c r="G1" s="108" t="s">
        <v>40</v>
      </c>
      <c r="H1" s="108" t="s">
        <v>66</v>
      </c>
      <c r="I1" s="171" t="s">
        <v>68</v>
      </c>
      <c r="J1" s="172" t="s">
        <v>69</v>
      </c>
      <c r="K1" s="171" t="s">
        <v>71</v>
      </c>
      <c r="L1" s="173" t="s">
        <v>74</v>
      </c>
      <c r="M1" s="57" t="s">
        <v>66</v>
      </c>
      <c r="N1" s="172" t="s">
        <v>45</v>
      </c>
    </row>
    <row r="2">
      <c r="B2" s="2">
        <v>1.0</v>
      </c>
      <c r="C2" s="91">
        <v>44805.0</v>
      </c>
      <c r="D2" s="111">
        <f>33.8+77+32</f>
        <v>142.8</v>
      </c>
      <c r="E2" s="111">
        <v>0.0</v>
      </c>
      <c r="F2" s="111">
        <v>0.0</v>
      </c>
      <c r="G2" s="111">
        <v>0.0</v>
      </c>
      <c r="H2" s="111">
        <v>350.0</v>
      </c>
      <c r="I2" s="112">
        <f>+AVERAGE(D2:D31)</f>
        <v>164.979</v>
      </c>
      <c r="J2" s="113">
        <f>+N2/B31</f>
        <v>214.0236667</v>
      </c>
      <c r="K2" s="113">
        <f t="shared" ref="K2:L2" si="1">+SUM(D2:D31)</f>
        <v>4949.37</v>
      </c>
      <c r="L2" s="113">
        <f t="shared" si="1"/>
        <v>90</v>
      </c>
      <c r="M2" s="113">
        <f>+SUM(H2:H31)</f>
        <v>1338.34</v>
      </c>
      <c r="N2" s="113">
        <f>+SUM(D2:H31)</f>
        <v>6420.71</v>
      </c>
    </row>
    <row r="3">
      <c r="B3" s="2">
        <v>2.0</v>
      </c>
      <c r="C3" s="91">
        <v>44806.0</v>
      </c>
      <c r="D3" s="111">
        <f>52.07+14.95</f>
        <v>67.02</v>
      </c>
      <c r="E3" s="111">
        <v>0.0</v>
      </c>
      <c r="F3" s="111">
        <v>0.0</v>
      </c>
      <c r="G3" s="111">
        <v>0.0</v>
      </c>
      <c r="H3" s="111">
        <v>75.0</v>
      </c>
    </row>
    <row r="4">
      <c r="B4" s="2">
        <v>3.0</v>
      </c>
      <c r="C4" s="91">
        <v>44807.0</v>
      </c>
      <c r="D4" s="111">
        <v>70.33</v>
      </c>
      <c r="E4" s="111">
        <v>30.0</v>
      </c>
      <c r="F4" s="111">
        <v>0.0</v>
      </c>
      <c r="G4" s="111">
        <v>0.0</v>
      </c>
      <c r="H4" s="111">
        <v>103.34</v>
      </c>
    </row>
    <row r="5">
      <c r="B5" s="2">
        <v>4.0</v>
      </c>
      <c r="C5" s="91">
        <v>44808.0</v>
      </c>
      <c r="D5" s="111">
        <f>12.5+82+33</f>
        <v>127.5</v>
      </c>
      <c r="E5" s="111">
        <v>0.0</v>
      </c>
      <c r="F5" s="111">
        <v>0.0</v>
      </c>
      <c r="G5" s="111">
        <v>0.0</v>
      </c>
      <c r="H5" s="111">
        <v>12.5</v>
      </c>
    </row>
    <row r="6">
      <c r="B6" s="2">
        <v>5.0</v>
      </c>
      <c r="C6" s="91">
        <v>44809.0</v>
      </c>
      <c r="D6" s="111">
        <v>39.25</v>
      </c>
      <c r="E6" s="111">
        <v>0.0</v>
      </c>
      <c r="F6" s="111">
        <v>0.0</v>
      </c>
      <c r="G6" s="111">
        <v>0.0</v>
      </c>
      <c r="H6" s="111">
        <v>7.9</v>
      </c>
    </row>
    <row r="7">
      <c r="B7" s="2">
        <v>6.0</v>
      </c>
      <c r="C7" s="91">
        <v>44810.0</v>
      </c>
      <c r="D7" s="111">
        <v>0.0</v>
      </c>
      <c r="E7" s="111">
        <v>0.0</v>
      </c>
      <c r="F7" s="111">
        <v>0.0</v>
      </c>
      <c r="G7" s="111">
        <v>0.0</v>
      </c>
      <c r="H7" s="111">
        <v>81.0</v>
      </c>
    </row>
    <row r="8">
      <c r="B8" s="2">
        <v>7.0</v>
      </c>
      <c r="C8" s="91">
        <v>44811.0</v>
      </c>
      <c r="D8" s="111">
        <f>319+33.15+123.95+19.67+66.98+14.5</f>
        <v>577.25</v>
      </c>
      <c r="E8" s="111">
        <v>0.0</v>
      </c>
      <c r="F8" s="111">
        <v>0.0</v>
      </c>
      <c r="G8" s="111">
        <v>0.0</v>
      </c>
      <c r="H8" s="111">
        <v>0.0</v>
      </c>
    </row>
    <row r="9">
      <c r="B9" s="2">
        <v>8.0</v>
      </c>
      <c r="C9" s="91">
        <v>44812.0</v>
      </c>
      <c r="D9" s="111">
        <f>43+126.08</f>
        <v>169.08</v>
      </c>
      <c r="E9" s="111">
        <v>0.0</v>
      </c>
      <c r="F9" s="111">
        <v>0.0</v>
      </c>
      <c r="G9" s="111">
        <v>0.0</v>
      </c>
      <c r="H9" s="111">
        <v>0.0</v>
      </c>
    </row>
    <row r="10">
      <c r="B10" s="2">
        <v>9.0</v>
      </c>
      <c r="C10" s="91">
        <v>44813.0</v>
      </c>
      <c r="D10" s="111">
        <f>40.8+41.7+24.4+11.78</f>
        <v>118.68</v>
      </c>
      <c r="E10" s="111">
        <v>0.0</v>
      </c>
      <c r="F10" s="111">
        <v>0.0</v>
      </c>
      <c r="G10" s="111">
        <v>0.0</v>
      </c>
      <c r="H10" s="111">
        <v>0.0</v>
      </c>
    </row>
    <row r="11">
      <c r="B11" s="2">
        <v>10.0</v>
      </c>
      <c r="C11" s="91">
        <v>44814.0</v>
      </c>
      <c r="D11" s="111">
        <v>31.5</v>
      </c>
      <c r="E11" s="111">
        <v>0.0</v>
      </c>
      <c r="F11" s="111">
        <v>0.0</v>
      </c>
      <c r="G11" s="111">
        <v>0.0</v>
      </c>
      <c r="H11" s="111">
        <v>0.0</v>
      </c>
    </row>
    <row r="12">
      <c r="B12" s="2">
        <v>11.0</v>
      </c>
      <c r="C12" s="91">
        <v>44815.0</v>
      </c>
      <c r="D12" s="111">
        <v>42.5</v>
      </c>
      <c r="E12" s="111">
        <v>60.0</v>
      </c>
      <c r="F12" s="111">
        <v>0.0</v>
      </c>
      <c r="G12" s="111">
        <v>0.0</v>
      </c>
      <c r="H12" s="111">
        <v>0.0</v>
      </c>
      <c r="T12" s="174" t="s">
        <v>92</v>
      </c>
    </row>
    <row r="13">
      <c r="B13" s="2">
        <v>12.0</v>
      </c>
      <c r="C13" s="91">
        <v>44816.0</v>
      </c>
      <c r="D13" s="111">
        <f>29.15+44.1</f>
        <v>73.25</v>
      </c>
      <c r="E13" s="111">
        <v>0.0</v>
      </c>
      <c r="F13" s="111">
        <v>0.0</v>
      </c>
      <c r="G13" s="111">
        <v>0.0</v>
      </c>
      <c r="H13" s="111">
        <v>0.0</v>
      </c>
      <c r="T13" s="175">
        <v>45.0</v>
      </c>
    </row>
    <row r="14">
      <c r="B14" s="2">
        <v>13.0</v>
      </c>
      <c r="C14" s="91">
        <v>44817.0</v>
      </c>
      <c r="D14" s="111">
        <f>86.02+139.98</f>
        <v>226</v>
      </c>
      <c r="E14" s="111">
        <v>0.0</v>
      </c>
      <c r="F14" s="111">
        <v>0.0</v>
      </c>
      <c r="G14" s="111">
        <v>0.0</v>
      </c>
      <c r="H14" s="111">
        <v>140.0</v>
      </c>
    </row>
    <row r="15">
      <c r="B15" s="2">
        <v>14.0</v>
      </c>
      <c r="C15" s="91">
        <v>44818.0</v>
      </c>
      <c r="D15" s="111">
        <v>12.0</v>
      </c>
      <c r="E15" s="111">
        <v>0.0</v>
      </c>
      <c r="F15" s="111">
        <v>0.0</v>
      </c>
      <c r="G15" s="111">
        <v>0.0</v>
      </c>
      <c r="H15" s="111">
        <v>0.0</v>
      </c>
    </row>
    <row r="16">
      <c r="B16" s="2">
        <v>15.0</v>
      </c>
      <c r="C16" s="91">
        <v>44819.0</v>
      </c>
      <c r="D16" s="111">
        <f>85+12</f>
        <v>97</v>
      </c>
      <c r="E16" s="111">
        <v>0.0</v>
      </c>
      <c r="F16" s="111">
        <v>0.0</v>
      </c>
      <c r="G16" s="111">
        <v>0.0</v>
      </c>
      <c r="H16" s="111">
        <v>0.0</v>
      </c>
    </row>
    <row r="17">
      <c r="B17" s="2">
        <v>16.0</v>
      </c>
      <c r="C17" s="91">
        <v>44820.0</v>
      </c>
      <c r="D17" s="111">
        <f>18+12</f>
        <v>30</v>
      </c>
      <c r="E17" s="111">
        <v>0.0</v>
      </c>
      <c r="F17" s="111">
        <v>0.0</v>
      </c>
      <c r="G17" s="111">
        <v>43.0</v>
      </c>
      <c r="H17" s="111">
        <f>83.6+225+200</f>
        <v>508.6</v>
      </c>
    </row>
    <row r="18">
      <c r="B18" s="2">
        <v>17.0</v>
      </c>
      <c r="C18" s="91">
        <v>44821.0</v>
      </c>
      <c r="D18" s="111">
        <f>53.3+18.85</f>
        <v>72.15</v>
      </c>
      <c r="E18" s="111">
        <v>0.0</v>
      </c>
      <c r="F18" s="111">
        <v>0.0</v>
      </c>
      <c r="G18" s="111">
        <v>0.0</v>
      </c>
      <c r="H18" s="111">
        <v>0.0</v>
      </c>
    </row>
    <row r="19">
      <c r="B19" s="2">
        <v>18.0</v>
      </c>
      <c r="C19" s="91">
        <v>44822.0</v>
      </c>
      <c r="D19" s="111">
        <f>37.5+28.25</f>
        <v>65.75</v>
      </c>
      <c r="E19" s="111">
        <v>0.0</v>
      </c>
      <c r="F19" s="111">
        <v>0.0</v>
      </c>
      <c r="G19" s="111">
        <v>0.0</v>
      </c>
      <c r="H19" s="111">
        <v>0.0</v>
      </c>
    </row>
    <row r="20">
      <c r="B20" s="2">
        <v>19.0</v>
      </c>
      <c r="C20" s="91">
        <v>44823.0</v>
      </c>
      <c r="D20" s="111">
        <f>24+289.14+39.9+3</f>
        <v>356.04</v>
      </c>
      <c r="E20" s="111">
        <v>0.0</v>
      </c>
      <c r="F20" s="111">
        <v>0.0</v>
      </c>
      <c r="G20" s="111">
        <v>0.0</v>
      </c>
      <c r="H20" s="111">
        <v>0.0</v>
      </c>
    </row>
    <row r="21" ht="15.75" customHeight="1">
      <c r="B21" s="2">
        <v>20.0</v>
      </c>
      <c r="C21" s="91">
        <v>44824.0</v>
      </c>
      <c r="D21" s="111">
        <v>41.0</v>
      </c>
      <c r="E21" s="111">
        <v>0.0</v>
      </c>
      <c r="F21" s="111">
        <v>0.0</v>
      </c>
      <c r="G21" s="111">
        <v>0.0</v>
      </c>
      <c r="H21" s="111">
        <v>0.0</v>
      </c>
    </row>
    <row r="22" ht="15.75" customHeight="1">
      <c r="B22" s="2">
        <v>21.0</v>
      </c>
      <c r="C22" s="91">
        <v>44825.0</v>
      </c>
      <c r="D22" s="111">
        <v>24.96</v>
      </c>
      <c r="E22" s="111">
        <v>0.0</v>
      </c>
      <c r="F22" s="111">
        <v>0.0</v>
      </c>
      <c r="G22" s="111">
        <v>0.0</v>
      </c>
      <c r="H22" s="111">
        <v>0.0</v>
      </c>
    </row>
    <row r="23" ht="15.75" customHeight="1">
      <c r="B23" s="2">
        <v>22.0</v>
      </c>
      <c r="C23" s="91">
        <v>44826.0</v>
      </c>
      <c r="D23" s="111">
        <v>85.53</v>
      </c>
      <c r="E23" s="111">
        <v>0.0</v>
      </c>
      <c r="F23" s="111">
        <v>0.0</v>
      </c>
      <c r="G23" s="111">
        <v>0.0</v>
      </c>
      <c r="H23" s="111">
        <v>0.0</v>
      </c>
    </row>
    <row r="24" ht="15.75" customHeight="1">
      <c r="B24" s="2">
        <v>23.0</v>
      </c>
      <c r="C24" s="91">
        <v>44827.0</v>
      </c>
      <c r="D24" s="111">
        <v>11.5</v>
      </c>
      <c r="E24" s="111">
        <v>0.0</v>
      </c>
      <c r="F24" s="111">
        <v>0.0</v>
      </c>
      <c r="G24" s="111">
        <v>0.0</v>
      </c>
      <c r="H24" s="111">
        <v>0.0</v>
      </c>
    </row>
    <row r="25" ht="15.75" customHeight="1">
      <c r="B25" s="2">
        <v>24.0</v>
      </c>
      <c r="C25" s="91">
        <v>44828.0</v>
      </c>
      <c r="D25" s="111">
        <f>38+45.31</f>
        <v>83.31</v>
      </c>
      <c r="E25" s="111">
        <v>0.0</v>
      </c>
      <c r="F25" s="111">
        <v>0.0</v>
      </c>
      <c r="G25" s="111">
        <v>0.0</v>
      </c>
      <c r="H25" s="111">
        <v>0.0</v>
      </c>
    </row>
    <row r="26" ht="15.75" customHeight="1">
      <c r="B26" s="2">
        <v>25.0</v>
      </c>
      <c r="C26" s="91">
        <v>44829.0</v>
      </c>
      <c r="D26" s="111">
        <v>21.95</v>
      </c>
      <c r="E26" s="111">
        <v>0.0</v>
      </c>
      <c r="F26" s="111">
        <v>0.0</v>
      </c>
      <c r="G26" s="111">
        <v>0.0</v>
      </c>
      <c r="H26" s="111">
        <v>0.0</v>
      </c>
    </row>
    <row r="27" ht="15.75" customHeight="1">
      <c r="B27" s="2">
        <v>26.0</v>
      </c>
      <c r="C27" s="91">
        <v>44830.0</v>
      </c>
      <c r="D27" s="111">
        <f>5.15+33</f>
        <v>38.15</v>
      </c>
      <c r="E27" s="111">
        <v>0.0</v>
      </c>
      <c r="F27" s="111">
        <v>0.0</v>
      </c>
      <c r="G27" s="111">
        <v>0.0</v>
      </c>
      <c r="H27" s="111">
        <v>0.0</v>
      </c>
    </row>
    <row r="28" ht="15.75" customHeight="1">
      <c r="B28" s="2">
        <v>27.0</v>
      </c>
      <c r="C28" s="91">
        <v>44831.0</v>
      </c>
      <c r="D28" s="111">
        <v>274.28</v>
      </c>
      <c r="E28" s="111">
        <v>0.0</v>
      </c>
      <c r="F28" s="111">
        <v>0.0</v>
      </c>
      <c r="G28" s="111">
        <v>0.0</v>
      </c>
      <c r="H28" s="111">
        <v>0.0</v>
      </c>
    </row>
    <row r="29" ht="15.75" customHeight="1">
      <c r="B29" s="2">
        <v>28.0</v>
      </c>
      <c r="C29" s="91">
        <v>44832.0</v>
      </c>
      <c r="D29" s="111">
        <f>1210.74+81.85</f>
        <v>1292.59</v>
      </c>
      <c r="E29" s="111">
        <v>0.0</v>
      </c>
      <c r="F29" s="111">
        <v>0.0</v>
      </c>
      <c r="G29" s="111">
        <v>0.0</v>
      </c>
      <c r="H29" s="111">
        <v>60.0</v>
      </c>
    </row>
    <row r="30" ht="15.75" customHeight="1">
      <c r="B30" s="2">
        <v>29.0</v>
      </c>
      <c r="C30" s="91">
        <v>44833.0</v>
      </c>
      <c r="D30" s="111">
        <f>60+28</f>
        <v>88</v>
      </c>
      <c r="E30" s="111">
        <v>0.0</v>
      </c>
      <c r="F30" s="111">
        <v>0.0</v>
      </c>
      <c r="G30" s="111">
        <v>0.0</v>
      </c>
      <c r="H30" s="111">
        <v>0.0</v>
      </c>
    </row>
    <row r="31" ht="15.75" customHeight="1">
      <c r="B31" s="2">
        <v>30.0</v>
      </c>
      <c r="C31" s="91">
        <v>44834.0</v>
      </c>
      <c r="D31" s="111">
        <f>170+500</f>
        <v>670</v>
      </c>
      <c r="E31" s="111">
        <v>0.0</v>
      </c>
      <c r="F31" s="111">
        <v>0.0</v>
      </c>
      <c r="G31" s="111">
        <v>0.0</v>
      </c>
      <c r="H31" s="111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9.43"/>
    <col customWidth="1" min="3" max="3" width="6.43"/>
    <col customWidth="1" min="4" max="4" width="13.14"/>
    <col customWidth="1" min="5" max="7" width="6.43"/>
    <col customWidth="1" min="8" max="8" width="13.71"/>
    <col customWidth="1" min="9" max="9" width="8.86"/>
    <col customWidth="1" min="10" max="10" width="10.14"/>
    <col customWidth="1" min="11" max="11" width="13.0"/>
    <col customWidth="1" min="12" max="12" width="6.43"/>
    <col customWidth="1" min="13" max="17" width="8.86"/>
    <col customWidth="1" min="18" max="18" width="11.29"/>
    <col customWidth="1" min="19" max="26" width="8.86"/>
  </cols>
  <sheetData>
    <row r="1">
      <c r="B1" s="106" t="s">
        <v>60</v>
      </c>
      <c r="C1" s="107" t="s">
        <v>35</v>
      </c>
      <c r="D1" s="108" t="s">
        <v>37</v>
      </c>
      <c r="E1" s="108" t="s">
        <v>62</v>
      </c>
      <c r="F1" s="108" t="s">
        <v>40</v>
      </c>
      <c r="G1" s="108" t="s">
        <v>66</v>
      </c>
      <c r="H1" s="171" t="s">
        <v>93</v>
      </c>
      <c r="I1" s="172" t="s">
        <v>69</v>
      </c>
      <c r="J1" s="171" t="s">
        <v>71</v>
      </c>
      <c r="K1" s="173" t="s">
        <v>74</v>
      </c>
      <c r="L1" s="57" t="s">
        <v>66</v>
      </c>
      <c r="M1" s="172" t="s">
        <v>45</v>
      </c>
    </row>
    <row r="2">
      <c r="A2" s="2">
        <v>1.0</v>
      </c>
      <c r="B2" s="91">
        <v>44774.0</v>
      </c>
      <c r="C2" s="111">
        <v>0.0</v>
      </c>
      <c r="D2" s="111">
        <v>0.0</v>
      </c>
      <c r="E2" s="111">
        <v>0.0</v>
      </c>
      <c r="F2" s="111">
        <v>0.0</v>
      </c>
      <c r="G2" s="111">
        <v>0.0</v>
      </c>
      <c r="H2" s="112">
        <f>+(J2+K2)/A32</f>
        <v>67.70935484</v>
      </c>
      <c r="I2" s="113">
        <f>+M2/A32</f>
        <v>112.3280645</v>
      </c>
      <c r="J2" s="113">
        <f>+SUM(C2:C32)</f>
        <v>2098.99</v>
      </c>
      <c r="K2" s="113">
        <f>+SUM(D2:D31)</f>
        <v>0</v>
      </c>
      <c r="L2" s="113">
        <f>+SUM(G2:G32)</f>
        <v>509.82</v>
      </c>
      <c r="M2" s="113">
        <f>+SUM(C2:G32)</f>
        <v>3482.17</v>
      </c>
    </row>
    <row r="3">
      <c r="A3" s="2">
        <v>2.0</v>
      </c>
      <c r="B3" s="91">
        <v>44775.0</v>
      </c>
      <c r="C3" s="111">
        <f>9+4</f>
        <v>13</v>
      </c>
      <c r="D3" s="111">
        <v>0.0</v>
      </c>
      <c r="E3" s="111">
        <v>0.0</v>
      </c>
      <c r="F3" s="111">
        <v>0.0</v>
      </c>
      <c r="G3" s="111">
        <v>0.0</v>
      </c>
    </row>
    <row r="4">
      <c r="A4" s="2">
        <v>3.0</v>
      </c>
      <c r="B4" s="91">
        <v>44776.0</v>
      </c>
      <c r="C4" s="111">
        <v>0.0</v>
      </c>
      <c r="D4" s="111">
        <v>0.0</v>
      </c>
      <c r="E4" s="111">
        <v>0.0</v>
      </c>
      <c r="F4" s="111">
        <v>0.0</v>
      </c>
      <c r="G4" s="111">
        <v>0.0</v>
      </c>
    </row>
    <row r="5">
      <c r="A5" s="2">
        <v>4.0</v>
      </c>
      <c r="B5" s="91">
        <v>44777.0</v>
      </c>
      <c r="C5" s="111">
        <v>15.9</v>
      </c>
      <c r="D5" s="111">
        <v>0.0</v>
      </c>
      <c r="E5" s="111">
        <v>0.0</v>
      </c>
      <c r="F5" s="111">
        <v>0.0</v>
      </c>
      <c r="G5" s="111">
        <v>0.0</v>
      </c>
    </row>
    <row r="6">
      <c r="A6" s="2">
        <v>5.0</v>
      </c>
      <c r="B6" s="91">
        <v>44778.0</v>
      </c>
      <c r="C6" s="111">
        <v>80.0</v>
      </c>
      <c r="D6" s="111">
        <v>0.0</v>
      </c>
      <c r="E6" s="111">
        <v>0.0</v>
      </c>
      <c r="F6" s="111">
        <v>0.0</v>
      </c>
      <c r="G6" s="111">
        <v>7.9</v>
      </c>
      <c r="R6" s="176" t="s">
        <v>94</v>
      </c>
    </row>
    <row r="7">
      <c r="A7" s="2">
        <v>6.0</v>
      </c>
      <c r="B7" s="91">
        <v>44779.0</v>
      </c>
      <c r="C7" s="111">
        <f>82+37.15</f>
        <v>119.15</v>
      </c>
      <c r="D7" s="111">
        <v>0.0</v>
      </c>
      <c r="E7" s="111">
        <v>0.0</v>
      </c>
      <c r="F7" s="111">
        <v>0.0</v>
      </c>
      <c r="G7" s="111">
        <v>0.0</v>
      </c>
      <c r="R7" s="177">
        <f>40+100+51</f>
        <v>191</v>
      </c>
    </row>
    <row r="8">
      <c r="A8" s="2">
        <v>7.0</v>
      </c>
      <c r="B8" s="91">
        <v>44780.0</v>
      </c>
      <c r="C8" s="111">
        <f>77.68+6.66</f>
        <v>84.34</v>
      </c>
      <c r="D8" s="111">
        <v>0.0</v>
      </c>
      <c r="E8" s="111">
        <v>0.0</v>
      </c>
      <c r="F8" s="111">
        <v>0.0</v>
      </c>
      <c r="G8" s="111">
        <f>99.9+144.76</f>
        <v>244.66</v>
      </c>
    </row>
    <row r="9">
      <c r="A9" s="2">
        <v>8.0</v>
      </c>
      <c r="B9" s="91">
        <v>44781.0</v>
      </c>
      <c r="C9" s="111">
        <v>0.0</v>
      </c>
      <c r="D9" s="111">
        <v>0.0</v>
      </c>
      <c r="E9" s="111">
        <v>0.0</v>
      </c>
      <c r="F9" s="111">
        <v>0.0</v>
      </c>
      <c r="G9" s="111">
        <v>0.0</v>
      </c>
    </row>
    <row r="10">
      <c r="A10" s="2">
        <v>9.0</v>
      </c>
      <c r="B10" s="91">
        <v>44782.0</v>
      </c>
      <c r="C10" s="111">
        <v>0.0</v>
      </c>
      <c r="D10" s="111">
        <v>0.0</v>
      </c>
      <c r="E10" s="111">
        <v>0.0</v>
      </c>
      <c r="F10" s="111">
        <v>0.0</v>
      </c>
      <c r="G10" s="111">
        <v>96.9</v>
      </c>
    </row>
    <row r="11">
      <c r="A11" s="2">
        <v>10.0</v>
      </c>
      <c r="B11" s="91">
        <v>44783.0</v>
      </c>
      <c r="C11" s="111">
        <f>26+47</f>
        <v>73</v>
      </c>
      <c r="D11" s="111">
        <v>0.0</v>
      </c>
      <c r="E11" s="111">
        <v>0.0</v>
      </c>
      <c r="F11" s="111">
        <v>0.0</v>
      </c>
      <c r="G11" s="111">
        <v>140.36</v>
      </c>
    </row>
    <row r="12">
      <c r="A12" s="2">
        <v>11.0</v>
      </c>
      <c r="B12" s="91">
        <v>44784.0</v>
      </c>
      <c r="C12" s="111">
        <v>44.01</v>
      </c>
      <c r="D12" s="111">
        <v>0.0</v>
      </c>
      <c r="E12" s="111">
        <v>0.0</v>
      </c>
      <c r="F12" s="111">
        <v>0.0</v>
      </c>
      <c r="G12" s="111">
        <v>0.0</v>
      </c>
    </row>
    <row r="13">
      <c r="A13" s="2">
        <v>12.0</v>
      </c>
      <c r="B13" s="91">
        <v>44785.0</v>
      </c>
      <c r="C13" s="111">
        <f>71.04+64.63</f>
        <v>135.67</v>
      </c>
      <c r="D13" s="111">
        <v>0.0</v>
      </c>
      <c r="E13" s="111">
        <v>0.0</v>
      </c>
      <c r="F13" s="111">
        <v>0.0</v>
      </c>
      <c r="G13" s="111">
        <v>0.0</v>
      </c>
    </row>
    <row r="14">
      <c r="A14" s="2">
        <v>13.0</v>
      </c>
      <c r="B14" s="91">
        <v>44786.0</v>
      </c>
      <c r="C14" s="111">
        <v>0.0</v>
      </c>
      <c r="D14" s="111">
        <v>0.0</v>
      </c>
      <c r="E14" s="111">
        <v>0.0</v>
      </c>
      <c r="F14" s="111">
        <v>0.0</v>
      </c>
      <c r="G14" s="111">
        <v>0.0</v>
      </c>
    </row>
    <row r="15">
      <c r="A15" s="2">
        <v>14.0</v>
      </c>
      <c r="B15" s="91">
        <v>44787.0</v>
      </c>
      <c r="C15" s="111">
        <f>95.63+53.82</f>
        <v>149.45</v>
      </c>
      <c r="D15" s="111">
        <v>0.0</v>
      </c>
      <c r="E15" s="111">
        <v>0.0</v>
      </c>
      <c r="F15" s="111">
        <v>0.0</v>
      </c>
      <c r="G15" s="111">
        <v>0.0</v>
      </c>
    </row>
    <row r="16">
      <c r="A16" s="2">
        <v>15.0</v>
      </c>
      <c r="B16" s="91">
        <v>44788.0</v>
      </c>
      <c r="C16" s="111">
        <f>83.6+29</f>
        <v>112.6</v>
      </c>
      <c r="D16" s="111">
        <v>0.0</v>
      </c>
      <c r="E16" s="111">
        <v>0.0</v>
      </c>
      <c r="F16" s="111">
        <v>45.0</v>
      </c>
      <c r="G16" s="111">
        <v>0.0</v>
      </c>
    </row>
    <row r="17">
      <c r="A17" s="2">
        <v>16.0</v>
      </c>
      <c r="B17" s="91">
        <v>44789.0</v>
      </c>
      <c r="C17" s="111">
        <v>69.3</v>
      </c>
      <c r="D17" s="111">
        <v>0.0</v>
      </c>
      <c r="E17" s="111">
        <v>0.0</v>
      </c>
      <c r="F17" s="111">
        <v>200.0</v>
      </c>
      <c r="G17" s="111">
        <v>0.0</v>
      </c>
    </row>
    <row r="18">
      <c r="A18" s="2">
        <v>17.0</v>
      </c>
      <c r="B18" s="91">
        <v>44790.0</v>
      </c>
      <c r="C18" s="111">
        <v>57.0</v>
      </c>
      <c r="D18" s="111">
        <v>0.0</v>
      </c>
      <c r="E18" s="111">
        <v>0.0</v>
      </c>
      <c r="F18" s="111">
        <v>0.0</v>
      </c>
      <c r="G18" s="111">
        <v>0.0</v>
      </c>
    </row>
    <row r="19">
      <c r="A19" s="2">
        <v>18.0</v>
      </c>
      <c r="B19" s="91">
        <v>44791.0</v>
      </c>
      <c r="C19" s="111">
        <f>4.12+7</f>
        <v>11.12</v>
      </c>
      <c r="D19" s="111">
        <v>0.0</v>
      </c>
      <c r="E19" s="111">
        <v>0.0</v>
      </c>
      <c r="F19" s="111">
        <v>0.0</v>
      </c>
      <c r="G19" s="111">
        <v>0.0</v>
      </c>
    </row>
    <row r="20">
      <c r="A20" s="2">
        <v>19.0</v>
      </c>
      <c r="B20" s="91">
        <v>44792.0</v>
      </c>
      <c r="C20" s="111">
        <f>131+60</f>
        <v>191</v>
      </c>
      <c r="D20" s="111">
        <v>0.0</v>
      </c>
      <c r="E20" s="111">
        <v>0.0</v>
      </c>
      <c r="F20" s="111">
        <v>0.0</v>
      </c>
      <c r="G20" s="111">
        <v>0.0</v>
      </c>
    </row>
    <row r="21" ht="15.75" customHeight="1">
      <c r="A21" s="2">
        <v>20.0</v>
      </c>
      <c r="B21" s="91">
        <v>44793.0</v>
      </c>
      <c r="C21" s="111">
        <v>78.59</v>
      </c>
      <c r="D21" s="111">
        <v>0.0</v>
      </c>
      <c r="E21" s="111">
        <v>0.0</v>
      </c>
      <c r="F21" s="111">
        <v>0.0</v>
      </c>
      <c r="G21" s="111">
        <v>0.0</v>
      </c>
    </row>
    <row r="22" ht="15.75" customHeight="1">
      <c r="A22" s="2">
        <v>21.0</v>
      </c>
      <c r="B22" s="91">
        <v>44794.0</v>
      </c>
      <c r="C22" s="111">
        <f>64.41+13.5+11.5</f>
        <v>89.41</v>
      </c>
      <c r="D22" s="111">
        <v>0.0</v>
      </c>
      <c r="E22" s="111">
        <v>0.0</v>
      </c>
      <c r="F22" s="111">
        <v>0.0</v>
      </c>
      <c r="G22" s="111">
        <v>0.0</v>
      </c>
    </row>
    <row r="23" ht="15.75" customHeight="1">
      <c r="A23" s="2">
        <v>22.0</v>
      </c>
      <c r="B23" s="91">
        <v>44795.0</v>
      </c>
      <c r="C23" s="111">
        <v>8.0</v>
      </c>
      <c r="D23" s="111">
        <v>0.0</v>
      </c>
      <c r="E23" s="111">
        <v>0.0</v>
      </c>
      <c r="F23" s="111">
        <v>0.0</v>
      </c>
      <c r="G23" s="111">
        <v>0.0</v>
      </c>
    </row>
    <row r="24" ht="15.75" customHeight="1">
      <c r="A24" s="2">
        <v>23.0</v>
      </c>
      <c r="B24" s="91">
        <v>44796.0</v>
      </c>
      <c r="C24" s="111">
        <f>71.33+40+37.75+45</f>
        <v>194.08</v>
      </c>
      <c r="D24" s="111">
        <v>0.0</v>
      </c>
      <c r="E24" s="111">
        <f>99.98+51.88</f>
        <v>151.86</v>
      </c>
      <c r="F24" s="111">
        <v>0.0</v>
      </c>
      <c r="G24" s="111">
        <v>0.0</v>
      </c>
    </row>
    <row r="25" ht="15.75" customHeight="1">
      <c r="A25" s="2">
        <v>24.0</v>
      </c>
      <c r="B25" s="91">
        <v>44797.0</v>
      </c>
      <c r="C25" s="111">
        <v>20.85</v>
      </c>
      <c r="D25" s="111">
        <v>0.0</v>
      </c>
      <c r="E25" s="111">
        <v>0.0</v>
      </c>
      <c r="F25" s="111">
        <v>0.0</v>
      </c>
      <c r="G25" s="111">
        <v>0.0</v>
      </c>
    </row>
    <row r="26" ht="15.75" customHeight="1">
      <c r="A26" s="2">
        <v>25.0</v>
      </c>
      <c r="B26" s="91">
        <v>44798.0</v>
      </c>
      <c r="C26" s="111">
        <v>6.0</v>
      </c>
      <c r="D26" s="111">
        <v>0.0</v>
      </c>
      <c r="E26" s="111">
        <v>0.0</v>
      </c>
      <c r="F26" s="111">
        <v>0.0</v>
      </c>
      <c r="G26" s="111">
        <v>0.0</v>
      </c>
    </row>
    <row r="27" ht="15.75" customHeight="1">
      <c r="A27" s="2">
        <v>26.0</v>
      </c>
      <c r="B27" s="91">
        <v>44799.0</v>
      </c>
      <c r="C27" s="111">
        <f>5+29.9+12.72+60</f>
        <v>107.62</v>
      </c>
      <c r="D27" s="111">
        <v>0.0</v>
      </c>
      <c r="E27" s="111">
        <v>0.0</v>
      </c>
      <c r="F27" s="111">
        <v>0.0</v>
      </c>
      <c r="G27" s="111">
        <v>0.0</v>
      </c>
    </row>
    <row r="28" ht="15.75" customHeight="1">
      <c r="A28" s="2">
        <v>27.0</v>
      </c>
      <c r="B28" s="91">
        <v>44800.0</v>
      </c>
      <c r="C28" s="111">
        <v>0.0</v>
      </c>
      <c r="D28" s="111">
        <v>0.0</v>
      </c>
      <c r="E28" s="111">
        <v>0.0</v>
      </c>
      <c r="F28" s="111">
        <v>0.0</v>
      </c>
      <c r="G28" s="111">
        <v>0.0</v>
      </c>
    </row>
    <row r="29" ht="15.75" customHeight="1">
      <c r="A29" s="2">
        <v>28.0</v>
      </c>
      <c r="B29" s="91">
        <v>44801.0</v>
      </c>
      <c r="C29" s="111">
        <f>20+112+65+70+20</f>
        <v>287</v>
      </c>
      <c r="D29" s="111">
        <v>0.0</v>
      </c>
      <c r="E29" s="111">
        <v>0.0</v>
      </c>
      <c r="F29" s="111">
        <v>0.0</v>
      </c>
      <c r="G29" s="111">
        <v>0.0</v>
      </c>
    </row>
    <row r="30" ht="15.75" customHeight="1">
      <c r="A30" s="2">
        <v>29.0</v>
      </c>
      <c r="B30" s="91">
        <v>44802.0</v>
      </c>
      <c r="C30" s="111">
        <v>10.05</v>
      </c>
      <c r="D30" s="111">
        <v>0.0</v>
      </c>
      <c r="E30" s="111">
        <v>0.0</v>
      </c>
      <c r="F30" s="111">
        <v>67.5</v>
      </c>
      <c r="G30" s="111">
        <v>0.0</v>
      </c>
    </row>
    <row r="31" ht="15.75" customHeight="1">
      <c r="A31" s="2">
        <v>30.0</v>
      </c>
      <c r="B31" s="91">
        <v>44803.0</v>
      </c>
      <c r="C31" s="111">
        <v>0.0</v>
      </c>
      <c r="D31" s="111">
        <v>0.0</v>
      </c>
      <c r="E31" s="111">
        <v>0.0</v>
      </c>
      <c r="F31" s="111">
        <v>0.0</v>
      </c>
      <c r="G31" s="111">
        <v>0.0</v>
      </c>
    </row>
    <row r="32" ht="15.75" customHeight="1">
      <c r="A32" s="2">
        <v>31.0</v>
      </c>
      <c r="B32" s="91">
        <v>44804.0</v>
      </c>
      <c r="C32" s="111">
        <f>105.35+36.5</f>
        <v>141.85</v>
      </c>
      <c r="D32" s="111">
        <v>0.0</v>
      </c>
      <c r="E32" s="111">
        <f>-191+500</f>
        <v>309</v>
      </c>
      <c r="F32" s="111">
        <v>100.0</v>
      </c>
      <c r="G32" s="111">
        <f>-330+350</f>
        <v>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9.43"/>
    <col customWidth="1" min="4" max="4" width="6.43"/>
    <col customWidth="1" min="5" max="5" width="13.14"/>
    <col customWidth="1" min="6" max="6" width="6.43"/>
    <col customWidth="1" min="7" max="7" width="5.43"/>
    <col customWidth="1" min="8" max="8" width="6.43"/>
    <col customWidth="1" min="9" max="9" width="7.71"/>
    <col customWidth="1" min="10" max="10" width="8.14"/>
    <col customWidth="1" min="11" max="26" width="8.86"/>
  </cols>
  <sheetData>
    <row r="2">
      <c r="D2" s="178" t="s">
        <v>95</v>
      </c>
      <c r="E2" s="179"/>
      <c r="F2" s="179"/>
      <c r="G2" s="179"/>
      <c r="H2" s="180"/>
      <c r="I2" s="181" t="s">
        <v>96</v>
      </c>
      <c r="J2" s="182" t="s">
        <v>67</v>
      </c>
      <c r="K2" s="183" t="s">
        <v>97</v>
      </c>
      <c r="L2" s="184" t="s">
        <v>98</v>
      </c>
      <c r="M2" s="183" t="s">
        <v>99</v>
      </c>
      <c r="N2" s="183" t="s">
        <v>100</v>
      </c>
      <c r="O2" s="185" t="s">
        <v>66</v>
      </c>
      <c r="P2" s="184" t="s">
        <v>101</v>
      </c>
    </row>
    <row r="3">
      <c r="C3" s="106" t="s">
        <v>60</v>
      </c>
      <c r="D3" s="107" t="s">
        <v>35</v>
      </c>
      <c r="E3" s="108" t="s">
        <v>37</v>
      </c>
      <c r="F3" s="108" t="s">
        <v>62</v>
      </c>
      <c r="G3" s="108" t="s">
        <v>40</v>
      </c>
      <c r="H3" s="108" t="s">
        <v>66</v>
      </c>
      <c r="I3" s="186"/>
      <c r="J3" s="187"/>
      <c r="K3" s="188"/>
      <c r="L3" s="188"/>
      <c r="M3" s="188"/>
      <c r="N3" s="188"/>
      <c r="O3" s="188"/>
      <c r="P3" s="188"/>
    </row>
    <row r="4">
      <c r="B4" s="2">
        <v>1.0</v>
      </c>
      <c r="C4" s="91">
        <v>44743.0</v>
      </c>
      <c r="D4" s="111">
        <f>56.51+16</f>
        <v>72.51</v>
      </c>
      <c r="E4" s="111">
        <v>0.0</v>
      </c>
      <c r="F4" s="111">
        <v>0.0</v>
      </c>
      <c r="G4" s="111">
        <v>0.0</v>
      </c>
      <c r="H4" s="111">
        <v>0.0</v>
      </c>
      <c r="I4" s="111">
        <f t="shared" ref="I4:I34" si="2">+SUM(D4,E4)</f>
        <v>72.51</v>
      </c>
      <c r="J4" s="111">
        <f t="shared" ref="J4:J34" si="3">+SUM(D4:H4)</f>
        <v>72.51</v>
      </c>
      <c r="K4" s="112">
        <f t="shared" ref="K4:L4" si="1">+AVERAGE(I4:I34)</f>
        <v>132.9596774</v>
      </c>
      <c r="L4" s="113">
        <f t="shared" si="1"/>
        <v>172.1922581</v>
      </c>
      <c r="M4" s="113">
        <f>+SUM(I4:I34)</f>
        <v>4121.75</v>
      </c>
      <c r="N4" s="113">
        <f>+SUM(E4:E33)</f>
        <v>789.34</v>
      </c>
      <c r="O4" s="113">
        <f>+SUM(H4:H34)</f>
        <v>606.81</v>
      </c>
      <c r="P4" s="113">
        <f>+SUM(J4:J34)</f>
        <v>5337.96</v>
      </c>
    </row>
    <row r="5">
      <c r="B5" s="2">
        <v>2.0</v>
      </c>
      <c r="C5" s="91">
        <v>44744.0</v>
      </c>
      <c r="D5" s="111">
        <v>49.78</v>
      </c>
      <c r="E5" s="111">
        <v>0.0</v>
      </c>
      <c r="F5" s="111">
        <v>0.0</v>
      </c>
      <c r="G5" s="111">
        <v>0.0</v>
      </c>
      <c r="H5" s="111">
        <v>0.0</v>
      </c>
      <c r="I5" s="111">
        <f t="shared" si="2"/>
        <v>49.78</v>
      </c>
      <c r="J5" s="111">
        <f t="shared" si="3"/>
        <v>49.78</v>
      </c>
    </row>
    <row r="6">
      <c r="B6" s="2">
        <v>3.0</v>
      </c>
      <c r="C6" s="91">
        <v>44745.0</v>
      </c>
      <c r="D6" s="111">
        <f>48.34+24</f>
        <v>72.34</v>
      </c>
      <c r="E6" s="111">
        <v>0.0</v>
      </c>
      <c r="F6" s="111">
        <v>0.0</v>
      </c>
      <c r="G6" s="111">
        <v>0.0</v>
      </c>
      <c r="H6" s="111">
        <v>0.0</v>
      </c>
      <c r="I6" s="111">
        <f t="shared" si="2"/>
        <v>72.34</v>
      </c>
      <c r="J6" s="111">
        <f t="shared" si="3"/>
        <v>72.34</v>
      </c>
    </row>
    <row r="7">
      <c r="B7" s="2">
        <v>4.0</v>
      </c>
      <c r="C7" s="91">
        <v>44746.0</v>
      </c>
      <c r="D7" s="111">
        <f>134.33+72.4+28.43+99.94+250</f>
        <v>585.1</v>
      </c>
      <c r="E7" s="111">
        <v>0.0</v>
      </c>
      <c r="F7" s="111">
        <v>0.0</v>
      </c>
      <c r="G7" s="111">
        <v>0.0</v>
      </c>
      <c r="H7" s="111">
        <v>223.91</v>
      </c>
      <c r="I7" s="111">
        <f t="shared" si="2"/>
        <v>585.1</v>
      </c>
      <c r="J7" s="111">
        <f t="shared" si="3"/>
        <v>809.01</v>
      </c>
    </row>
    <row r="8">
      <c r="B8" s="2">
        <v>5.0</v>
      </c>
      <c r="C8" s="91">
        <v>44747.0</v>
      </c>
      <c r="D8" s="111">
        <v>12.0</v>
      </c>
      <c r="E8" s="111">
        <v>350.0</v>
      </c>
      <c r="F8" s="111">
        <v>0.0</v>
      </c>
      <c r="G8" s="111">
        <v>0.0</v>
      </c>
      <c r="H8" s="111">
        <f>135+7.9</f>
        <v>142.9</v>
      </c>
      <c r="I8" s="111">
        <f t="shared" si="2"/>
        <v>362</v>
      </c>
      <c r="J8" s="111">
        <f t="shared" si="3"/>
        <v>504.9</v>
      </c>
    </row>
    <row r="9">
      <c r="B9" s="2">
        <v>6.0</v>
      </c>
      <c r="C9" s="91">
        <v>44748.0</v>
      </c>
      <c r="D9" s="111">
        <f>62.69+46.25</f>
        <v>108.94</v>
      </c>
      <c r="E9" s="111">
        <v>0.0</v>
      </c>
      <c r="F9" s="111">
        <v>0.0</v>
      </c>
      <c r="G9" s="111">
        <v>0.0</v>
      </c>
      <c r="H9" s="111">
        <v>0.0</v>
      </c>
      <c r="I9" s="111">
        <f t="shared" si="2"/>
        <v>108.94</v>
      </c>
      <c r="J9" s="111">
        <f t="shared" si="3"/>
        <v>108.94</v>
      </c>
      <c r="T9" s="2" t="s">
        <v>89</v>
      </c>
    </row>
    <row r="10">
      <c r="B10" s="2">
        <v>7.0</v>
      </c>
      <c r="C10" s="91">
        <v>44749.0</v>
      </c>
      <c r="D10" s="111">
        <f>64.99+12</f>
        <v>76.99</v>
      </c>
      <c r="E10" s="111">
        <v>0.0</v>
      </c>
      <c r="F10" s="111">
        <v>0.0</v>
      </c>
      <c r="G10" s="111">
        <v>0.0</v>
      </c>
      <c r="H10" s="111">
        <v>0.0</v>
      </c>
      <c r="I10" s="111">
        <f t="shared" si="2"/>
        <v>76.99</v>
      </c>
      <c r="J10" s="111">
        <f t="shared" si="3"/>
        <v>76.99</v>
      </c>
      <c r="T10" s="2">
        <f>70+40+100</f>
        <v>210</v>
      </c>
    </row>
    <row r="11">
      <c r="B11" s="2">
        <v>8.0</v>
      </c>
      <c r="C11" s="91">
        <v>44750.0</v>
      </c>
      <c r="D11" s="111">
        <f>110.03+24</f>
        <v>134.03</v>
      </c>
      <c r="E11" s="111">
        <v>0.0</v>
      </c>
      <c r="F11" s="111">
        <v>0.0</v>
      </c>
      <c r="G11" s="111">
        <v>41.9</v>
      </c>
      <c r="H11" s="111">
        <v>240.0</v>
      </c>
      <c r="I11" s="111">
        <f t="shared" si="2"/>
        <v>134.03</v>
      </c>
      <c r="J11" s="111">
        <f t="shared" si="3"/>
        <v>415.93</v>
      </c>
    </row>
    <row r="12">
      <c r="B12" s="2">
        <v>9.0</v>
      </c>
      <c r="C12" s="91">
        <v>44751.0</v>
      </c>
      <c r="D12" s="111">
        <v>80.06</v>
      </c>
      <c r="E12" s="111">
        <v>0.0</v>
      </c>
      <c r="F12" s="111">
        <v>0.0</v>
      </c>
      <c r="G12" s="111">
        <v>0.0</v>
      </c>
      <c r="H12" s="111">
        <v>0.0</v>
      </c>
      <c r="I12" s="111">
        <f t="shared" si="2"/>
        <v>80.06</v>
      </c>
      <c r="J12" s="111">
        <f t="shared" si="3"/>
        <v>80.06</v>
      </c>
    </row>
    <row r="13">
      <c r="B13" s="2">
        <v>10.0</v>
      </c>
      <c r="C13" s="91">
        <v>44752.0</v>
      </c>
      <c r="D13" s="111">
        <v>0.0</v>
      </c>
      <c r="E13" s="111">
        <v>144.94</v>
      </c>
      <c r="F13" s="111">
        <v>0.0</v>
      </c>
      <c r="G13" s="111">
        <v>0.0</v>
      </c>
      <c r="H13" s="111">
        <v>0.0</v>
      </c>
      <c r="I13" s="111">
        <f t="shared" si="2"/>
        <v>144.94</v>
      </c>
      <c r="J13" s="111">
        <f t="shared" si="3"/>
        <v>144.94</v>
      </c>
    </row>
    <row r="14">
      <c r="B14" s="2">
        <v>11.0</v>
      </c>
      <c r="C14" s="91">
        <v>44753.0</v>
      </c>
      <c r="D14" s="111">
        <v>0.0</v>
      </c>
      <c r="E14" s="111">
        <v>8.0</v>
      </c>
      <c r="F14" s="111">
        <v>0.0</v>
      </c>
      <c r="G14" s="111">
        <v>0.0</v>
      </c>
      <c r="H14" s="111">
        <v>0.0</v>
      </c>
      <c r="I14" s="111">
        <f t="shared" si="2"/>
        <v>8</v>
      </c>
      <c r="J14" s="111">
        <f t="shared" si="3"/>
        <v>8</v>
      </c>
    </row>
    <row r="15">
      <c r="B15" s="2">
        <v>12.0</v>
      </c>
      <c r="C15" s="91">
        <v>44754.0</v>
      </c>
      <c r="D15" s="111">
        <v>60.9</v>
      </c>
      <c r="E15" s="111">
        <f>8.2+8.2+270</f>
        <v>286.4</v>
      </c>
      <c r="F15" s="111">
        <v>0.0</v>
      </c>
      <c r="G15" s="111">
        <v>0.0</v>
      </c>
      <c r="H15" s="111">
        <v>0.0</v>
      </c>
      <c r="I15" s="111">
        <f t="shared" si="2"/>
        <v>347.3</v>
      </c>
      <c r="J15" s="111">
        <f t="shared" si="3"/>
        <v>347.3</v>
      </c>
    </row>
    <row r="16">
      <c r="B16" s="2">
        <v>13.0</v>
      </c>
      <c r="C16" s="91">
        <v>44755.0</v>
      </c>
      <c r="D16" s="111">
        <f>21.75+24.5</f>
        <v>46.25</v>
      </c>
      <c r="E16" s="111">
        <v>0.0</v>
      </c>
      <c r="F16" s="111">
        <v>0.0</v>
      </c>
      <c r="G16" s="111">
        <v>0.0</v>
      </c>
      <c r="H16" s="111">
        <v>0.0</v>
      </c>
      <c r="I16" s="111">
        <f t="shared" si="2"/>
        <v>46.25</v>
      </c>
      <c r="J16" s="111">
        <f t="shared" si="3"/>
        <v>46.25</v>
      </c>
    </row>
    <row r="17">
      <c r="B17" s="2">
        <v>14.0</v>
      </c>
      <c r="C17" s="91">
        <v>44756.0</v>
      </c>
      <c r="D17" s="111">
        <v>147.35</v>
      </c>
      <c r="E17" s="111">
        <v>0.0</v>
      </c>
      <c r="F17" s="111">
        <v>0.0</v>
      </c>
      <c r="G17" s="111">
        <v>0.0</v>
      </c>
      <c r="H17" s="111">
        <v>0.0</v>
      </c>
      <c r="I17" s="111">
        <f t="shared" si="2"/>
        <v>147.35</v>
      </c>
      <c r="J17" s="111">
        <f t="shared" si="3"/>
        <v>147.35</v>
      </c>
    </row>
    <row r="18">
      <c r="B18" s="2">
        <v>15.0</v>
      </c>
      <c r="C18" s="91">
        <v>44757.0</v>
      </c>
      <c r="D18" s="111">
        <f>24+20</f>
        <v>44</v>
      </c>
      <c r="E18" s="111">
        <v>0.0</v>
      </c>
      <c r="F18" s="111">
        <v>0.0</v>
      </c>
      <c r="G18" s="111">
        <v>0.0</v>
      </c>
      <c r="H18" s="111">
        <v>0.0</v>
      </c>
      <c r="I18" s="111">
        <f t="shared" si="2"/>
        <v>44</v>
      </c>
      <c r="J18" s="111">
        <f t="shared" si="3"/>
        <v>44</v>
      </c>
    </row>
    <row r="19">
      <c r="B19" s="2">
        <v>16.0</v>
      </c>
      <c r="C19" s="91">
        <v>44758.0</v>
      </c>
      <c r="D19" s="111">
        <f>53.65+85+30</f>
        <v>168.65</v>
      </c>
      <c r="E19" s="111">
        <v>0.0</v>
      </c>
      <c r="F19" s="111">
        <v>0.0</v>
      </c>
      <c r="G19" s="111">
        <v>0.0</v>
      </c>
      <c r="H19" s="111">
        <v>0.0</v>
      </c>
      <c r="I19" s="111">
        <f t="shared" si="2"/>
        <v>168.65</v>
      </c>
      <c r="J19" s="111">
        <f t="shared" si="3"/>
        <v>168.65</v>
      </c>
    </row>
    <row r="20">
      <c r="B20" s="2">
        <v>17.0</v>
      </c>
      <c r="C20" s="91">
        <v>44759.0</v>
      </c>
      <c r="D20" s="111">
        <f>36.6+51.99</f>
        <v>88.59</v>
      </c>
      <c r="E20" s="111">
        <v>0.0</v>
      </c>
      <c r="F20" s="111">
        <v>0.0</v>
      </c>
      <c r="G20" s="111">
        <v>0.0</v>
      </c>
      <c r="H20" s="111">
        <v>0.0</v>
      </c>
      <c r="I20" s="111">
        <f t="shared" si="2"/>
        <v>88.59</v>
      </c>
      <c r="J20" s="111">
        <f t="shared" si="3"/>
        <v>88.59</v>
      </c>
    </row>
    <row r="21" ht="15.75" customHeight="1">
      <c r="B21" s="2">
        <v>18.0</v>
      </c>
      <c r="C21" s="91">
        <v>44760.0</v>
      </c>
      <c r="D21" s="111">
        <f>11.25+75.24+16.95</f>
        <v>103.44</v>
      </c>
      <c r="E21" s="111">
        <v>0.0</v>
      </c>
      <c r="F21" s="111">
        <v>0.0</v>
      </c>
      <c r="G21" s="111">
        <v>0.0</v>
      </c>
      <c r="H21" s="111">
        <v>0.0</v>
      </c>
      <c r="I21" s="111">
        <f t="shared" si="2"/>
        <v>103.44</v>
      </c>
      <c r="J21" s="111">
        <f t="shared" si="3"/>
        <v>103.44</v>
      </c>
    </row>
    <row r="22" ht="15.75" customHeight="1">
      <c r="B22" s="2">
        <v>19.0</v>
      </c>
      <c r="C22" s="91">
        <v>44761.0</v>
      </c>
      <c r="D22" s="111">
        <v>21.47</v>
      </c>
      <c r="E22" s="111">
        <v>0.0</v>
      </c>
      <c r="F22" s="111">
        <v>0.0</v>
      </c>
      <c r="G22" s="111">
        <v>0.0</v>
      </c>
      <c r="H22" s="111">
        <v>0.0</v>
      </c>
      <c r="I22" s="111">
        <f t="shared" si="2"/>
        <v>21.47</v>
      </c>
      <c r="J22" s="111">
        <f t="shared" si="3"/>
        <v>21.47</v>
      </c>
    </row>
    <row r="23" ht="15.75" customHeight="1">
      <c r="B23" s="2">
        <v>20.0</v>
      </c>
      <c r="C23" s="91">
        <v>44762.0</v>
      </c>
      <c r="D23" s="111">
        <f>22.9+25.5</f>
        <v>48.4</v>
      </c>
      <c r="E23" s="111">
        <v>0.0</v>
      </c>
      <c r="F23" s="111">
        <v>0.0</v>
      </c>
      <c r="G23" s="111">
        <v>0.0</v>
      </c>
      <c r="H23" s="111">
        <v>0.0</v>
      </c>
      <c r="I23" s="111">
        <f t="shared" si="2"/>
        <v>48.4</v>
      </c>
      <c r="J23" s="111">
        <f t="shared" si="3"/>
        <v>48.4</v>
      </c>
    </row>
    <row r="24" ht="15.75" customHeight="1">
      <c r="B24" s="2">
        <v>21.0</v>
      </c>
      <c r="C24" s="91">
        <v>44763.0</v>
      </c>
      <c r="D24" s="111">
        <f>152.6+55.5+73.74</f>
        <v>281.84</v>
      </c>
      <c r="E24" s="111">
        <v>0.0</v>
      </c>
      <c r="F24" s="111">
        <v>0.0</v>
      </c>
      <c r="G24" s="111">
        <v>0.0</v>
      </c>
      <c r="H24" s="111">
        <v>0.0</v>
      </c>
      <c r="I24" s="111">
        <f t="shared" si="2"/>
        <v>281.84</v>
      </c>
      <c r="J24" s="111">
        <f t="shared" si="3"/>
        <v>281.84</v>
      </c>
    </row>
    <row r="25" ht="15.75" customHeight="1">
      <c r="B25" s="2">
        <v>22.0</v>
      </c>
      <c r="C25" s="91">
        <v>44764.0</v>
      </c>
      <c r="D25" s="111">
        <f>62.65+33.4</f>
        <v>96.05</v>
      </c>
      <c r="E25" s="111">
        <v>0.0</v>
      </c>
      <c r="F25" s="111">
        <v>0.0</v>
      </c>
      <c r="G25" s="111">
        <v>0.0</v>
      </c>
      <c r="H25" s="111">
        <v>0.0</v>
      </c>
      <c r="I25" s="111">
        <f t="shared" si="2"/>
        <v>96.05</v>
      </c>
      <c r="J25" s="111">
        <f t="shared" si="3"/>
        <v>96.05</v>
      </c>
    </row>
    <row r="26" ht="15.75" customHeight="1">
      <c r="B26" s="2">
        <v>23.0</v>
      </c>
      <c r="C26" s="91">
        <v>44765.0</v>
      </c>
      <c r="D26" s="111">
        <f>138+70</f>
        <v>208</v>
      </c>
      <c r="E26" s="111">
        <v>0.0</v>
      </c>
      <c r="F26" s="111">
        <v>0.0</v>
      </c>
      <c r="G26" s="111">
        <v>0.0</v>
      </c>
      <c r="H26" s="111">
        <v>0.0</v>
      </c>
      <c r="I26" s="111">
        <f t="shared" si="2"/>
        <v>208</v>
      </c>
      <c r="J26" s="111">
        <f t="shared" si="3"/>
        <v>208</v>
      </c>
    </row>
    <row r="27" ht="15.75" customHeight="1">
      <c r="B27" s="2">
        <v>24.0</v>
      </c>
      <c r="C27" s="91">
        <v>44766.0</v>
      </c>
      <c r="D27" s="111">
        <f>68+89+24</f>
        <v>181</v>
      </c>
      <c r="E27" s="111">
        <v>0.0</v>
      </c>
      <c r="F27" s="111">
        <v>0.0</v>
      </c>
      <c r="G27" s="111">
        <v>0.0</v>
      </c>
      <c r="H27" s="111">
        <v>0.0</v>
      </c>
      <c r="I27" s="111">
        <f t="shared" si="2"/>
        <v>181</v>
      </c>
      <c r="J27" s="111">
        <f t="shared" si="3"/>
        <v>181</v>
      </c>
    </row>
    <row r="28" ht="15.75" customHeight="1">
      <c r="B28" s="2">
        <v>25.0</v>
      </c>
      <c r="C28" s="91">
        <v>44767.0</v>
      </c>
      <c r="D28" s="111">
        <f>23.9+9.5+50+7.61</f>
        <v>91.01</v>
      </c>
      <c r="E28" s="111">
        <v>0.0</v>
      </c>
      <c r="F28" s="111">
        <v>0.0</v>
      </c>
      <c r="G28" s="111">
        <v>0.0</v>
      </c>
      <c r="H28" s="111">
        <v>0.0</v>
      </c>
      <c r="I28" s="111">
        <f t="shared" si="2"/>
        <v>91.01</v>
      </c>
      <c r="J28" s="111">
        <f t="shared" si="3"/>
        <v>91.01</v>
      </c>
    </row>
    <row r="29" ht="15.75" customHeight="1">
      <c r="B29" s="2">
        <v>26.0</v>
      </c>
      <c r="C29" s="91">
        <v>44768.0</v>
      </c>
      <c r="D29" s="111">
        <f>13.75+53.61</f>
        <v>67.36</v>
      </c>
      <c r="E29" s="111">
        <v>0.0</v>
      </c>
      <c r="F29" s="111">
        <v>0.0</v>
      </c>
      <c r="G29" s="111">
        <v>0.0</v>
      </c>
      <c r="H29" s="111">
        <v>0.0</v>
      </c>
      <c r="I29" s="111">
        <f t="shared" si="2"/>
        <v>67.36</v>
      </c>
      <c r="J29" s="111">
        <f t="shared" si="3"/>
        <v>67.36</v>
      </c>
    </row>
    <row r="30" ht="15.75" customHeight="1">
      <c r="B30" s="2">
        <v>27.0</v>
      </c>
      <c r="C30" s="91">
        <v>44769.0</v>
      </c>
      <c r="D30" s="111">
        <v>9.5</v>
      </c>
      <c r="E30" s="111">
        <v>0.0</v>
      </c>
      <c r="F30" s="111">
        <v>0.0</v>
      </c>
      <c r="G30" s="111">
        <v>0.0</v>
      </c>
      <c r="H30" s="111">
        <v>0.0</v>
      </c>
      <c r="I30" s="111">
        <f t="shared" si="2"/>
        <v>9.5</v>
      </c>
      <c r="J30" s="111">
        <f t="shared" si="3"/>
        <v>9.5</v>
      </c>
    </row>
    <row r="31" ht="15.75" customHeight="1">
      <c r="B31" s="2">
        <v>28.0</v>
      </c>
      <c r="C31" s="91">
        <v>44770.0</v>
      </c>
      <c r="D31" s="111">
        <v>0.0</v>
      </c>
      <c r="E31" s="111">
        <v>0.0</v>
      </c>
      <c r="F31" s="111">
        <v>0.0</v>
      </c>
      <c r="G31" s="111">
        <v>67.5</v>
      </c>
      <c r="H31" s="111">
        <v>0.0</v>
      </c>
      <c r="I31" s="111">
        <f t="shared" si="2"/>
        <v>0</v>
      </c>
      <c r="J31" s="111">
        <f t="shared" si="3"/>
        <v>67.5</v>
      </c>
    </row>
    <row r="32" ht="15.75" customHeight="1">
      <c r="B32" s="2">
        <v>29.0</v>
      </c>
      <c r="C32" s="91">
        <v>44771.0</v>
      </c>
      <c r="D32" s="111">
        <f>9.5+94.45</f>
        <v>103.95</v>
      </c>
      <c r="E32" s="111">
        <v>0.0</v>
      </c>
      <c r="F32" s="111">
        <v>0.0</v>
      </c>
      <c r="G32" s="111">
        <v>0.0</v>
      </c>
      <c r="H32" s="111">
        <v>0.0</v>
      </c>
      <c r="I32" s="111">
        <f t="shared" si="2"/>
        <v>103.95</v>
      </c>
      <c r="J32" s="111">
        <f t="shared" si="3"/>
        <v>103.95</v>
      </c>
    </row>
    <row r="33" ht="15.75" customHeight="1">
      <c r="B33" s="2">
        <v>30.0</v>
      </c>
      <c r="C33" s="91">
        <v>44772.0</v>
      </c>
      <c r="D33" s="111">
        <f>86+98.06+128.5+27.5</f>
        <v>340.06</v>
      </c>
      <c r="E33" s="111">
        <v>0.0</v>
      </c>
      <c r="F33" s="111">
        <v>0.0</v>
      </c>
      <c r="G33" s="111">
        <v>0.0</v>
      </c>
      <c r="H33" s="111">
        <v>0.0</v>
      </c>
      <c r="I33" s="111">
        <f t="shared" si="2"/>
        <v>340.06</v>
      </c>
      <c r="J33" s="111">
        <f t="shared" si="3"/>
        <v>340.06</v>
      </c>
    </row>
    <row r="34" ht="15.75" customHeight="1">
      <c r="B34" s="2">
        <v>31.0</v>
      </c>
      <c r="C34" s="91">
        <v>44773.0</v>
      </c>
      <c r="D34" s="111">
        <v>32.84</v>
      </c>
      <c r="E34" s="111">
        <v>0.0</v>
      </c>
      <c r="F34" s="111">
        <v>500.0</v>
      </c>
      <c r="G34" s="111">
        <v>0.0</v>
      </c>
      <c r="H34" s="111">
        <v>0.0</v>
      </c>
      <c r="I34" s="111">
        <f t="shared" si="2"/>
        <v>32.84</v>
      </c>
      <c r="J34" s="111">
        <f t="shared" si="3"/>
        <v>532.84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O2:O3"/>
    <mergeCell ref="P2:P3"/>
    <mergeCell ref="D2:H2"/>
    <mergeCell ref="I2:I3"/>
    <mergeCell ref="J2:J3"/>
    <mergeCell ref="K2:K3"/>
    <mergeCell ref="L2:L3"/>
    <mergeCell ref="M2:M3"/>
    <mergeCell ref="N2:N3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9.43"/>
    <col customWidth="1" min="4" max="4" width="6.43"/>
    <col customWidth="1" min="5" max="5" width="13.14"/>
    <col customWidth="1" min="6" max="8" width="6.43"/>
    <col customWidth="1" min="9" max="9" width="16.43"/>
    <col customWidth="1" min="10" max="10" width="7.0"/>
    <col customWidth="1" min="11" max="11" width="13.43"/>
    <col customWidth="1" min="12" max="26" width="8.86"/>
  </cols>
  <sheetData>
    <row r="3">
      <c r="D3" s="178" t="s">
        <v>95</v>
      </c>
      <c r="E3" s="179"/>
      <c r="F3" s="179"/>
      <c r="G3" s="179"/>
      <c r="H3" s="180"/>
      <c r="I3" s="181" t="s">
        <v>96</v>
      </c>
      <c r="J3" s="182" t="s">
        <v>67</v>
      </c>
      <c r="K3" s="183" t="s">
        <v>97</v>
      </c>
      <c r="L3" s="184" t="s">
        <v>98</v>
      </c>
      <c r="M3" s="183" t="s">
        <v>99</v>
      </c>
      <c r="N3" s="183" t="s">
        <v>100</v>
      </c>
      <c r="O3" s="185" t="s">
        <v>66</v>
      </c>
      <c r="P3" s="184" t="s">
        <v>101</v>
      </c>
    </row>
    <row r="4">
      <c r="C4" s="106" t="s">
        <v>60</v>
      </c>
      <c r="D4" s="107" t="s">
        <v>35</v>
      </c>
      <c r="E4" s="108" t="s">
        <v>37</v>
      </c>
      <c r="F4" s="108" t="s">
        <v>62</v>
      </c>
      <c r="G4" s="108" t="s">
        <v>40</v>
      </c>
      <c r="H4" s="108" t="s">
        <v>66</v>
      </c>
      <c r="I4" s="186"/>
      <c r="J4" s="187"/>
      <c r="K4" s="188"/>
      <c r="L4" s="188"/>
      <c r="M4" s="188"/>
      <c r="N4" s="188"/>
      <c r="O4" s="188"/>
      <c r="P4" s="188"/>
    </row>
    <row r="5">
      <c r="B5" s="2">
        <v>1.0</v>
      </c>
      <c r="C5" s="91">
        <v>44713.0</v>
      </c>
      <c r="D5" s="111">
        <f>31.3+50.65+11</f>
        <v>92.95</v>
      </c>
      <c r="E5" s="111">
        <v>0.0</v>
      </c>
      <c r="F5" s="111">
        <v>0.0</v>
      </c>
      <c r="G5" s="111">
        <v>0.0</v>
      </c>
      <c r="H5" s="111">
        <v>0.0</v>
      </c>
      <c r="I5" s="111">
        <f t="shared" ref="I5:I34" si="2">+SUM(D5,E5)</f>
        <v>92.95</v>
      </c>
      <c r="J5" s="111">
        <f t="shared" ref="J5:J34" si="3">+SUM(D5:H5)</f>
        <v>92.95</v>
      </c>
      <c r="K5" s="112">
        <f t="shared" ref="K5:L5" si="1">+AVERAGE(I5:I35)</f>
        <v>100.936</v>
      </c>
      <c r="L5" s="113">
        <f t="shared" si="1"/>
        <v>142.4026667</v>
      </c>
      <c r="M5" s="113">
        <f>+SUM(I5:I35)</f>
        <v>3028.08</v>
      </c>
      <c r="N5" s="113">
        <f>+SUM(E5:E34)</f>
        <v>397</v>
      </c>
      <c r="O5" s="113">
        <f>+SUM(H5:H35)</f>
        <v>619</v>
      </c>
      <c r="P5" s="113">
        <f>+SUM(J5:J35)</f>
        <v>4272.08</v>
      </c>
    </row>
    <row r="6">
      <c r="B6" s="2">
        <v>2.0</v>
      </c>
      <c r="C6" s="91">
        <v>44714.0</v>
      </c>
      <c r="D6" s="111">
        <v>20.4</v>
      </c>
      <c r="E6" s="111">
        <v>14.0</v>
      </c>
      <c r="F6" s="111">
        <v>0.0</v>
      </c>
      <c r="G6" s="111">
        <v>0.0</v>
      </c>
      <c r="H6" s="111">
        <v>0.0</v>
      </c>
      <c r="I6" s="111">
        <f t="shared" si="2"/>
        <v>34.4</v>
      </c>
      <c r="J6" s="111">
        <f t="shared" si="3"/>
        <v>34.4</v>
      </c>
    </row>
    <row r="7">
      <c r="B7" s="2">
        <v>3.0</v>
      </c>
      <c r="C7" s="91">
        <v>44715.0</v>
      </c>
      <c r="D7" s="111">
        <f>9.5+10.5+62.4+7.4+4.75+66.29</f>
        <v>160.84</v>
      </c>
      <c r="E7" s="111">
        <v>14.0</v>
      </c>
      <c r="F7" s="111">
        <v>0.0</v>
      </c>
      <c r="G7" s="111">
        <v>0.0</v>
      </c>
      <c r="H7" s="111">
        <v>0.0</v>
      </c>
      <c r="I7" s="111">
        <f t="shared" si="2"/>
        <v>174.84</v>
      </c>
      <c r="J7" s="111">
        <f t="shared" si="3"/>
        <v>174.84</v>
      </c>
      <c r="T7" s="2" t="s">
        <v>92</v>
      </c>
    </row>
    <row r="8">
      <c r="B8" s="2">
        <v>4.0</v>
      </c>
      <c r="C8" s="91">
        <v>44716.0</v>
      </c>
      <c r="D8" s="111">
        <f>34.65+63.99</f>
        <v>98.64</v>
      </c>
      <c r="E8" s="111">
        <v>0.0</v>
      </c>
      <c r="F8" s="111">
        <v>0.0</v>
      </c>
      <c r="G8" s="111">
        <v>0.0</v>
      </c>
      <c r="H8" s="111">
        <v>0.0</v>
      </c>
      <c r="I8" s="111">
        <f t="shared" si="2"/>
        <v>98.64</v>
      </c>
      <c r="J8" s="111">
        <f t="shared" si="3"/>
        <v>98.64</v>
      </c>
      <c r="T8" s="2">
        <f>40-36+50+155</f>
        <v>209</v>
      </c>
    </row>
    <row r="9">
      <c r="B9" s="2">
        <v>5.0</v>
      </c>
      <c r="C9" s="91">
        <v>44717.0</v>
      </c>
      <c r="D9" s="111">
        <f>35+3.98+19.8</f>
        <v>58.78</v>
      </c>
      <c r="E9" s="111">
        <v>65.0</v>
      </c>
      <c r="F9" s="111">
        <v>0.0</v>
      </c>
      <c r="G9" s="111">
        <v>0.0</v>
      </c>
      <c r="H9" s="111">
        <v>7.9</v>
      </c>
      <c r="I9" s="111">
        <f t="shared" si="2"/>
        <v>123.78</v>
      </c>
      <c r="J9" s="111">
        <f t="shared" si="3"/>
        <v>131.68</v>
      </c>
    </row>
    <row r="10">
      <c r="B10" s="2">
        <v>6.0</v>
      </c>
      <c r="C10" s="91">
        <v>44718.0</v>
      </c>
      <c r="D10" s="111">
        <f>38+17.5</f>
        <v>55.5</v>
      </c>
      <c r="E10" s="111">
        <v>0.0</v>
      </c>
      <c r="F10" s="111">
        <v>0.0</v>
      </c>
      <c r="G10" s="111">
        <v>0.0</v>
      </c>
      <c r="H10" s="111">
        <f>67.5+122+102.6+69</f>
        <v>361.1</v>
      </c>
      <c r="I10" s="111">
        <f t="shared" si="2"/>
        <v>55.5</v>
      </c>
      <c r="J10" s="111">
        <f t="shared" si="3"/>
        <v>416.6</v>
      </c>
    </row>
    <row r="11">
      <c r="B11" s="2">
        <v>7.0</v>
      </c>
      <c r="C11" s="91">
        <v>44719.0</v>
      </c>
      <c r="D11" s="111">
        <f>21+17.7</f>
        <v>38.7</v>
      </c>
      <c r="E11" s="111">
        <v>14.0</v>
      </c>
      <c r="F11" s="111">
        <v>0.0</v>
      </c>
      <c r="G11" s="111">
        <v>0.0</v>
      </c>
      <c r="H11" s="111">
        <v>0.0</v>
      </c>
      <c r="I11" s="111">
        <f t="shared" si="2"/>
        <v>52.7</v>
      </c>
      <c r="J11" s="111">
        <f t="shared" si="3"/>
        <v>52.7</v>
      </c>
    </row>
    <row r="12">
      <c r="B12" s="2">
        <v>8.0</v>
      </c>
      <c r="C12" s="91">
        <v>44720.0</v>
      </c>
      <c r="D12" s="111">
        <v>59.55</v>
      </c>
      <c r="E12" s="111">
        <v>0.0</v>
      </c>
      <c r="F12" s="111">
        <v>0.0</v>
      </c>
      <c r="G12" s="111">
        <v>0.0</v>
      </c>
      <c r="H12" s="111">
        <v>0.0</v>
      </c>
      <c r="I12" s="111">
        <f t="shared" si="2"/>
        <v>59.55</v>
      </c>
      <c r="J12" s="111">
        <f t="shared" si="3"/>
        <v>59.55</v>
      </c>
    </row>
    <row r="13">
      <c r="B13" s="2">
        <v>9.0</v>
      </c>
      <c r="C13" s="91">
        <v>44721.0</v>
      </c>
      <c r="D13" s="111">
        <v>58.87</v>
      </c>
      <c r="E13" s="111">
        <v>14.0</v>
      </c>
      <c r="F13" s="111">
        <v>0.0</v>
      </c>
      <c r="G13" s="111">
        <v>0.0</v>
      </c>
      <c r="H13" s="111">
        <v>0.0</v>
      </c>
      <c r="I13" s="111">
        <f t="shared" si="2"/>
        <v>72.87</v>
      </c>
      <c r="J13" s="111">
        <f t="shared" si="3"/>
        <v>72.87</v>
      </c>
    </row>
    <row r="14">
      <c r="B14" s="2">
        <v>10.0</v>
      </c>
      <c r="C14" s="91">
        <v>44722.0</v>
      </c>
      <c r="D14" s="111">
        <f>29.98+12+65.49</f>
        <v>107.47</v>
      </c>
      <c r="E14" s="111">
        <f>50+7</f>
        <v>57</v>
      </c>
      <c r="F14" s="111">
        <v>0.0</v>
      </c>
      <c r="G14" s="111">
        <v>0.0</v>
      </c>
      <c r="H14" s="111">
        <v>0.0</v>
      </c>
      <c r="I14" s="111">
        <f t="shared" si="2"/>
        <v>164.47</v>
      </c>
      <c r="J14" s="111">
        <f t="shared" si="3"/>
        <v>164.47</v>
      </c>
    </row>
    <row r="15">
      <c r="B15" s="2">
        <v>11.0</v>
      </c>
      <c r="C15" s="91">
        <v>44723.0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f t="shared" si="2"/>
        <v>0</v>
      </c>
      <c r="J15" s="111">
        <f t="shared" si="3"/>
        <v>0</v>
      </c>
    </row>
    <row r="16">
      <c r="B16" s="2">
        <v>12.0</v>
      </c>
      <c r="C16" s="91">
        <v>44724.0</v>
      </c>
      <c r="D16" s="111">
        <f>24.37+108.3</f>
        <v>132.67</v>
      </c>
      <c r="E16" s="111">
        <v>0.0</v>
      </c>
      <c r="F16" s="111">
        <v>0.0</v>
      </c>
      <c r="G16" s="111">
        <v>0.0</v>
      </c>
      <c r="H16" s="111">
        <v>0.0</v>
      </c>
      <c r="I16" s="111">
        <f t="shared" si="2"/>
        <v>132.67</v>
      </c>
      <c r="J16" s="111">
        <f t="shared" si="3"/>
        <v>132.67</v>
      </c>
    </row>
    <row r="17">
      <c r="B17" s="2">
        <v>13.0</v>
      </c>
      <c r="C17" s="91">
        <v>44725.0</v>
      </c>
      <c r="D17" s="111">
        <f>51.01+73+25</f>
        <v>149.01</v>
      </c>
      <c r="E17" s="111">
        <v>14.0</v>
      </c>
      <c r="F17" s="111">
        <v>0.0</v>
      </c>
      <c r="G17" s="111">
        <v>0.0</v>
      </c>
      <c r="H17" s="111">
        <v>0.0</v>
      </c>
      <c r="I17" s="111">
        <f t="shared" si="2"/>
        <v>163.01</v>
      </c>
      <c r="J17" s="111">
        <f t="shared" si="3"/>
        <v>163.01</v>
      </c>
    </row>
    <row r="18">
      <c r="B18" s="2">
        <v>14.0</v>
      </c>
      <c r="C18" s="91">
        <v>44726.0</v>
      </c>
      <c r="D18" s="111">
        <f>14+20+44.99</f>
        <v>78.99</v>
      </c>
      <c r="E18" s="111">
        <v>14.0</v>
      </c>
      <c r="F18" s="111">
        <v>0.0</v>
      </c>
      <c r="G18" s="111">
        <v>0.0</v>
      </c>
      <c r="H18" s="111">
        <v>0.0</v>
      </c>
      <c r="I18" s="111">
        <f t="shared" si="2"/>
        <v>92.99</v>
      </c>
      <c r="J18" s="111">
        <f t="shared" si="3"/>
        <v>92.99</v>
      </c>
    </row>
    <row r="19">
      <c r="B19" s="2">
        <v>15.0</v>
      </c>
      <c r="C19" s="91">
        <v>44727.0</v>
      </c>
      <c r="D19" s="111">
        <f>56.27+30.14+15</f>
        <v>101.41</v>
      </c>
      <c r="E19" s="111">
        <v>14.0</v>
      </c>
      <c r="F19" s="111">
        <v>0.0</v>
      </c>
      <c r="G19" s="111">
        <v>0.0</v>
      </c>
      <c r="H19" s="111">
        <v>0.0</v>
      </c>
      <c r="I19" s="111">
        <f t="shared" si="2"/>
        <v>115.41</v>
      </c>
      <c r="J19" s="111">
        <f t="shared" si="3"/>
        <v>115.41</v>
      </c>
    </row>
    <row r="20">
      <c r="B20" s="2">
        <v>16.0</v>
      </c>
      <c r="C20" s="91">
        <v>44728.0</v>
      </c>
      <c r="D20" s="111">
        <f>25.65+18.74+52.9+60.74+14</f>
        <v>172.03</v>
      </c>
      <c r="E20" s="111">
        <v>14.0</v>
      </c>
      <c r="F20" s="111">
        <v>0.0</v>
      </c>
      <c r="G20" s="111">
        <v>0.0</v>
      </c>
      <c r="H20" s="111">
        <v>0.0</v>
      </c>
      <c r="I20" s="111">
        <f t="shared" si="2"/>
        <v>186.03</v>
      </c>
      <c r="J20" s="111">
        <f t="shared" si="3"/>
        <v>186.03</v>
      </c>
    </row>
    <row r="21" ht="15.75" customHeight="1">
      <c r="B21" s="2">
        <v>17.0</v>
      </c>
      <c r="C21" s="91">
        <v>44729.0</v>
      </c>
      <c r="D21" s="111">
        <f>6.5+102.4</f>
        <v>108.9</v>
      </c>
      <c r="E21" s="111">
        <v>14.0</v>
      </c>
      <c r="F21" s="111">
        <v>0.0</v>
      </c>
      <c r="G21" s="111">
        <v>0.0</v>
      </c>
      <c r="H21" s="111">
        <v>0.0</v>
      </c>
      <c r="I21" s="111">
        <f t="shared" si="2"/>
        <v>122.9</v>
      </c>
      <c r="J21" s="111">
        <f t="shared" si="3"/>
        <v>122.9</v>
      </c>
    </row>
    <row r="22" ht="15.75" customHeight="1">
      <c r="B22" s="2">
        <v>18.0</v>
      </c>
      <c r="C22" s="91">
        <v>44730.0</v>
      </c>
      <c r="D22" s="111">
        <f>28.2+9.75</f>
        <v>37.95</v>
      </c>
      <c r="E22" s="111">
        <v>0.0</v>
      </c>
      <c r="F22" s="111">
        <v>0.0</v>
      </c>
      <c r="G22" s="111">
        <v>0.0</v>
      </c>
      <c r="H22" s="111">
        <v>0.0</v>
      </c>
      <c r="I22" s="111">
        <f t="shared" si="2"/>
        <v>37.95</v>
      </c>
      <c r="J22" s="111">
        <f t="shared" si="3"/>
        <v>37.95</v>
      </c>
    </row>
    <row r="23" ht="15.75" customHeight="1">
      <c r="B23" s="2">
        <v>19.0</v>
      </c>
      <c r="C23" s="91">
        <v>44731.0</v>
      </c>
      <c r="D23" s="111">
        <v>0.0</v>
      </c>
      <c r="E23" s="111">
        <v>0.0</v>
      </c>
      <c r="F23" s="111">
        <v>0.0</v>
      </c>
      <c r="G23" s="111">
        <v>0.0</v>
      </c>
      <c r="H23" s="111">
        <v>0.0</v>
      </c>
      <c r="I23" s="111">
        <f t="shared" si="2"/>
        <v>0</v>
      </c>
      <c r="J23" s="111">
        <f t="shared" si="3"/>
        <v>0</v>
      </c>
    </row>
    <row r="24" ht="15.75" customHeight="1">
      <c r="B24" s="2">
        <v>20.0</v>
      </c>
      <c r="C24" s="91">
        <v>44732.0</v>
      </c>
      <c r="D24" s="111">
        <f>16.73+88.81+8.43</f>
        <v>113.97</v>
      </c>
      <c r="E24" s="111">
        <v>7.0</v>
      </c>
      <c r="F24" s="111">
        <v>0.0</v>
      </c>
      <c r="G24" s="111">
        <v>0.0</v>
      </c>
      <c r="H24" s="111">
        <v>0.0</v>
      </c>
      <c r="I24" s="111">
        <f t="shared" si="2"/>
        <v>120.97</v>
      </c>
      <c r="J24" s="111">
        <f t="shared" si="3"/>
        <v>120.97</v>
      </c>
    </row>
    <row r="25" ht="15.75" customHeight="1">
      <c r="B25" s="2">
        <v>21.0</v>
      </c>
      <c r="C25" s="91">
        <v>44733.0</v>
      </c>
      <c r="D25" s="111">
        <f>49.46+34.89+4+5</f>
        <v>93.35</v>
      </c>
      <c r="E25" s="111">
        <f>7+35</f>
        <v>42</v>
      </c>
      <c r="F25" s="111">
        <v>0.0</v>
      </c>
      <c r="G25" s="111">
        <v>0.0</v>
      </c>
      <c r="H25" s="111">
        <v>0.0</v>
      </c>
      <c r="I25" s="111">
        <f t="shared" si="2"/>
        <v>135.35</v>
      </c>
      <c r="J25" s="111">
        <f t="shared" si="3"/>
        <v>135.35</v>
      </c>
    </row>
    <row r="26" ht="15.75" customHeight="1">
      <c r="B26" s="2">
        <v>22.0</v>
      </c>
      <c r="C26" s="91">
        <v>44734.0</v>
      </c>
      <c r="D26" s="111">
        <f>23.25+20+45.4+65.96</f>
        <v>154.61</v>
      </c>
      <c r="E26" s="111">
        <v>14.0</v>
      </c>
      <c r="F26" s="111">
        <v>0.0</v>
      </c>
      <c r="G26" s="111">
        <v>0.0</v>
      </c>
      <c r="H26" s="111">
        <v>0.0</v>
      </c>
      <c r="I26" s="111">
        <f t="shared" si="2"/>
        <v>168.61</v>
      </c>
      <c r="J26" s="111">
        <f t="shared" si="3"/>
        <v>168.61</v>
      </c>
    </row>
    <row r="27" ht="15.75" customHeight="1">
      <c r="B27" s="2">
        <v>23.0</v>
      </c>
      <c r="C27" s="91">
        <v>44735.0</v>
      </c>
      <c r="D27" s="111">
        <f>105.99+10</f>
        <v>115.99</v>
      </c>
      <c r="E27" s="111">
        <v>7.0</v>
      </c>
      <c r="F27" s="111">
        <v>0.0</v>
      </c>
      <c r="G27" s="111">
        <v>0.0</v>
      </c>
      <c r="H27" s="111">
        <v>0.0</v>
      </c>
      <c r="I27" s="111">
        <f t="shared" si="2"/>
        <v>122.99</v>
      </c>
      <c r="J27" s="111">
        <f t="shared" si="3"/>
        <v>122.99</v>
      </c>
    </row>
    <row r="28" ht="15.75" customHeight="1">
      <c r="B28" s="2">
        <v>24.0</v>
      </c>
      <c r="C28" s="91">
        <v>44736.0</v>
      </c>
      <c r="D28" s="111">
        <v>24.0</v>
      </c>
      <c r="E28" s="111">
        <f>7+30</f>
        <v>37</v>
      </c>
      <c r="F28" s="111">
        <v>0.0</v>
      </c>
      <c r="G28" s="111">
        <v>0.0</v>
      </c>
      <c r="H28" s="111">
        <v>0.0</v>
      </c>
      <c r="I28" s="111">
        <f t="shared" si="2"/>
        <v>61</v>
      </c>
      <c r="J28" s="111">
        <f t="shared" si="3"/>
        <v>61</v>
      </c>
    </row>
    <row r="29" ht="15.75" customHeight="1">
      <c r="B29" s="2">
        <v>25.0</v>
      </c>
      <c r="C29" s="91">
        <v>44737.0</v>
      </c>
      <c r="D29" s="111">
        <v>57.75</v>
      </c>
      <c r="E29" s="111">
        <v>0.0</v>
      </c>
      <c r="F29" s="111">
        <v>0.0</v>
      </c>
      <c r="G29" s="111">
        <v>0.0</v>
      </c>
      <c r="H29" s="111">
        <v>0.0</v>
      </c>
      <c r="I29" s="111">
        <f t="shared" si="2"/>
        <v>57.75</v>
      </c>
      <c r="J29" s="111">
        <f t="shared" si="3"/>
        <v>57.75</v>
      </c>
    </row>
    <row r="30" ht="15.75" customHeight="1">
      <c r="B30" s="2">
        <v>26.0</v>
      </c>
      <c r="C30" s="91">
        <v>44738.0</v>
      </c>
      <c r="D30" s="111">
        <f>20+65</f>
        <v>85</v>
      </c>
      <c r="E30" s="111">
        <v>0.0</v>
      </c>
      <c r="F30" s="111">
        <v>0.0</v>
      </c>
      <c r="G30" s="111">
        <v>0.0</v>
      </c>
      <c r="H30" s="111">
        <v>0.0</v>
      </c>
      <c r="I30" s="111">
        <f t="shared" si="2"/>
        <v>85</v>
      </c>
      <c r="J30" s="111">
        <f t="shared" si="3"/>
        <v>85</v>
      </c>
    </row>
    <row r="31" ht="15.75" customHeight="1">
      <c r="B31" s="2">
        <v>27.0</v>
      </c>
      <c r="C31" s="91">
        <v>44739.0</v>
      </c>
      <c r="D31" s="111">
        <f>313+12</f>
        <v>325</v>
      </c>
      <c r="E31" s="111">
        <v>14.0</v>
      </c>
      <c r="F31" s="111">
        <v>0.0</v>
      </c>
      <c r="G31" s="111">
        <v>0.0</v>
      </c>
      <c r="H31" s="111">
        <v>0.0</v>
      </c>
      <c r="I31" s="111">
        <f t="shared" si="2"/>
        <v>339</v>
      </c>
      <c r="J31" s="111">
        <f t="shared" si="3"/>
        <v>339</v>
      </c>
    </row>
    <row r="32" ht="15.75" customHeight="1">
      <c r="B32" s="2">
        <v>28.0</v>
      </c>
      <c r="C32" s="91">
        <v>44740.0</v>
      </c>
      <c r="D32" s="111">
        <f>5+39.75</f>
        <v>44.75</v>
      </c>
      <c r="E32" s="111">
        <v>14.0</v>
      </c>
      <c r="F32" s="111">
        <v>0.0</v>
      </c>
      <c r="G32" s="111">
        <v>0.0</v>
      </c>
      <c r="H32" s="111">
        <v>0.0</v>
      </c>
      <c r="I32" s="111">
        <f t="shared" si="2"/>
        <v>58.75</v>
      </c>
      <c r="J32" s="111">
        <f t="shared" si="3"/>
        <v>58.75</v>
      </c>
    </row>
    <row r="33" ht="15.75" customHeight="1">
      <c r="B33" s="2">
        <v>29.0</v>
      </c>
      <c r="C33" s="91">
        <v>44741.0</v>
      </c>
      <c r="D33" s="111">
        <f>32.25+26.25</f>
        <v>58.5</v>
      </c>
      <c r="E33" s="111">
        <v>14.0</v>
      </c>
      <c r="F33" s="111">
        <v>500.0</v>
      </c>
      <c r="G33" s="111">
        <v>125.0</v>
      </c>
      <c r="H33" s="111">
        <v>250.0</v>
      </c>
      <c r="I33" s="111">
        <f t="shared" si="2"/>
        <v>72.5</v>
      </c>
      <c r="J33" s="111">
        <f t="shared" si="3"/>
        <v>947.5</v>
      </c>
    </row>
    <row r="34" ht="15.75" customHeight="1">
      <c r="B34" s="2">
        <v>30.0</v>
      </c>
      <c r="C34" s="91">
        <v>44742.0</v>
      </c>
      <c r="D34" s="111">
        <v>25.5</v>
      </c>
      <c r="E34" s="111">
        <v>0.0</v>
      </c>
      <c r="F34" s="111">
        <v>0.0</v>
      </c>
      <c r="G34" s="111">
        <v>0.0</v>
      </c>
      <c r="H34" s="111">
        <v>0.0</v>
      </c>
      <c r="I34" s="111">
        <f t="shared" si="2"/>
        <v>25.5</v>
      </c>
      <c r="J34" s="111">
        <f t="shared" si="3"/>
        <v>25.5</v>
      </c>
    </row>
    <row r="35" ht="15.75" customHeight="1">
      <c r="D35" s="105"/>
      <c r="E35" s="105"/>
      <c r="F35" s="105"/>
      <c r="G35" s="105"/>
      <c r="H35" s="105"/>
      <c r="I35" s="105"/>
      <c r="J35" s="10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O3:O4"/>
    <mergeCell ref="P3:P4"/>
    <mergeCell ref="D3:H3"/>
    <mergeCell ref="I3:I4"/>
    <mergeCell ref="J3:J4"/>
    <mergeCell ref="K3:K4"/>
    <mergeCell ref="L3:L4"/>
    <mergeCell ref="M3:M4"/>
    <mergeCell ref="N3:N4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9.43"/>
    <col customWidth="1" min="5" max="20" width="8.86"/>
    <col customWidth="1" min="21" max="21" width="10.86"/>
    <col customWidth="1" min="22" max="26" width="8.86"/>
  </cols>
  <sheetData>
    <row r="3">
      <c r="E3" s="178" t="s">
        <v>95</v>
      </c>
      <c r="F3" s="179"/>
      <c r="G3" s="179"/>
      <c r="H3" s="179"/>
      <c r="I3" s="180"/>
      <c r="J3" s="181" t="s">
        <v>96</v>
      </c>
      <c r="K3" s="182" t="s">
        <v>67</v>
      </c>
      <c r="L3" s="183" t="s">
        <v>97</v>
      </c>
      <c r="M3" s="184" t="s">
        <v>98</v>
      </c>
      <c r="N3" s="183" t="s">
        <v>99</v>
      </c>
      <c r="O3" s="183" t="s">
        <v>100</v>
      </c>
      <c r="P3" s="185" t="s">
        <v>66</v>
      </c>
      <c r="Q3" s="184" t="s">
        <v>101</v>
      </c>
    </row>
    <row r="4">
      <c r="D4" s="106" t="s">
        <v>60</v>
      </c>
      <c r="E4" s="189" t="s">
        <v>35</v>
      </c>
      <c r="F4" s="190" t="s">
        <v>37</v>
      </c>
      <c r="G4" s="190" t="s">
        <v>62</v>
      </c>
      <c r="H4" s="190" t="s">
        <v>40</v>
      </c>
      <c r="I4" s="190" t="s">
        <v>66</v>
      </c>
      <c r="J4" s="188"/>
      <c r="K4" s="191"/>
      <c r="L4" s="188"/>
      <c r="M4" s="188"/>
      <c r="N4" s="188"/>
      <c r="O4" s="188"/>
      <c r="P4" s="188"/>
      <c r="Q4" s="188"/>
    </row>
    <row r="5">
      <c r="C5" s="2">
        <v>1.0</v>
      </c>
      <c r="D5" s="91">
        <v>44682.0</v>
      </c>
      <c r="E5" s="105">
        <v>0.0</v>
      </c>
      <c r="F5" s="105">
        <v>0.0</v>
      </c>
      <c r="G5" s="105">
        <v>0.0</v>
      </c>
      <c r="H5" s="105">
        <v>0.0</v>
      </c>
      <c r="I5" s="105">
        <v>0.0</v>
      </c>
      <c r="J5" s="105">
        <f t="shared" ref="J5:J35" si="2">+SUM(E5,F5)</f>
        <v>0</v>
      </c>
      <c r="K5" s="105">
        <f t="shared" ref="K5:K35" si="3">+SUM(E5:I5)</f>
        <v>0</v>
      </c>
      <c r="L5" s="113">
        <f t="shared" ref="L5:M5" si="1">+AVERAGE(J5:J35)</f>
        <v>90.64322581</v>
      </c>
      <c r="M5" s="113">
        <f t="shared" si="1"/>
        <v>151.0748387</v>
      </c>
      <c r="N5" s="113">
        <f>+SUM(J5:J35)</f>
        <v>2809.94</v>
      </c>
      <c r="O5" s="113">
        <f>+SUM(F5:F34)</f>
        <v>229.8</v>
      </c>
      <c r="P5" s="113">
        <f>+SUM(I5:I35)</f>
        <v>988.96</v>
      </c>
      <c r="Q5" s="113">
        <f>+SUM(K5:K35)</f>
        <v>4683.32</v>
      </c>
    </row>
    <row r="6">
      <c r="C6" s="2">
        <v>2.0</v>
      </c>
      <c r="D6" s="91">
        <v>44683.0</v>
      </c>
      <c r="E6" s="105">
        <f>79.17+30.5+36.68</f>
        <v>146.35</v>
      </c>
      <c r="F6" s="105">
        <v>0.0</v>
      </c>
      <c r="G6" s="105">
        <v>0.0</v>
      </c>
      <c r="H6" s="105">
        <v>0.0</v>
      </c>
      <c r="I6" s="105">
        <v>0.0</v>
      </c>
      <c r="J6" s="105">
        <f t="shared" si="2"/>
        <v>146.35</v>
      </c>
      <c r="K6" s="105">
        <f t="shared" si="3"/>
        <v>146.35</v>
      </c>
      <c r="U6" s="2" t="s">
        <v>92</v>
      </c>
    </row>
    <row r="7">
      <c r="C7" s="2">
        <v>3.0</v>
      </c>
      <c r="D7" s="91">
        <v>44684.0</v>
      </c>
      <c r="E7" s="105">
        <f>99.13+64.7+48.83+76.15+8.9</f>
        <v>297.71</v>
      </c>
      <c r="F7" s="105">
        <v>0.0</v>
      </c>
      <c r="G7" s="105">
        <v>0.0</v>
      </c>
      <c r="H7" s="105">
        <v>0.0</v>
      </c>
      <c r="I7" s="105">
        <v>0.0</v>
      </c>
      <c r="J7" s="105">
        <f t="shared" si="2"/>
        <v>297.71</v>
      </c>
      <c r="K7" s="105">
        <f t="shared" si="3"/>
        <v>297.71</v>
      </c>
      <c r="U7" s="2">
        <f>95+35</f>
        <v>130</v>
      </c>
    </row>
    <row r="8">
      <c r="C8" s="2">
        <v>4.0</v>
      </c>
      <c r="D8" s="91">
        <v>44685.0</v>
      </c>
      <c r="E8" s="105">
        <v>65.25</v>
      </c>
      <c r="F8" s="105">
        <v>0.0</v>
      </c>
      <c r="G8" s="105">
        <v>0.0</v>
      </c>
      <c r="H8" s="105">
        <v>0.0</v>
      </c>
      <c r="I8" s="105">
        <f>275.55+161.97+258.54</f>
        <v>696.06</v>
      </c>
      <c r="J8" s="105">
        <f t="shared" si="2"/>
        <v>65.25</v>
      </c>
      <c r="K8" s="105">
        <f t="shared" si="3"/>
        <v>761.31</v>
      </c>
    </row>
    <row r="9">
      <c r="C9" s="2">
        <v>5.0</v>
      </c>
      <c r="D9" s="91">
        <v>44686.0</v>
      </c>
      <c r="E9" s="105">
        <f>116.4+35.5</f>
        <v>151.9</v>
      </c>
      <c r="F9" s="105">
        <v>0.0</v>
      </c>
      <c r="G9" s="105">
        <v>0.0</v>
      </c>
      <c r="H9" s="105">
        <f>40+68.5+51.92</f>
        <v>160.42</v>
      </c>
      <c r="I9" s="105">
        <v>7.9</v>
      </c>
      <c r="J9" s="105">
        <f t="shared" si="2"/>
        <v>151.9</v>
      </c>
      <c r="K9" s="105">
        <f t="shared" si="3"/>
        <v>320.22</v>
      </c>
    </row>
    <row r="10">
      <c r="C10" s="2">
        <v>6.0</v>
      </c>
      <c r="D10" s="91">
        <v>44687.0</v>
      </c>
      <c r="E10" s="105">
        <f>54+85+25.61+37.09</f>
        <v>201.7</v>
      </c>
      <c r="F10" s="105">
        <v>0.0</v>
      </c>
      <c r="G10" s="105">
        <v>0.0</v>
      </c>
      <c r="H10" s="105">
        <v>0.0</v>
      </c>
      <c r="I10" s="105">
        <v>0.0</v>
      </c>
      <c r="J10" s="105">
        <f t="shared" si="2"/>
        <v>201.7</v>
      </c>
      <c r="K10" s="105">
        <f t="shared" si="3"/>
        <v>201.7</v>
      </c>
    </row>
    <row r="11">
      <c r="C11" s="2">
        <v>7.0</v>
      </c>
      <c r="D11" s="91">
        <v>44688.0</v>
      </c>
      <c r="E11" s="105">
        <f>9+27+33.79</f>
        <v>69.79</v>
      </c>
      <c r="F11" s="105">
        <v>0.0</v>
      </c>
      <c r="G11" s="105">
        <v>0.0</v>
      </c>
      <c r="H11" s="105">
        <v>0.0</v>
      </c>
      <c r="I11" s="105">
        <v>0.0</v>
      </c>
      <c r="J11" s="105">
        <f t="shared" si="2"/>
        <v>69.79</v>
      </c>
      <c r="K11" s="105">
        <f t="shared" si="3"/>
        <v>69.79</v>
      </c>
    </row>
    <row r="12">
      <c r="C12" s="2">
        <v>8.0</v>
      </c>
      <c r="D12" s="91">
        <v>44689.0</v>
      </c>
      <c r="E12" s="105">
        <v>8.71</v>
      </c>
      <c r="F12" s="105">
        <v>0.0</v>
      </c>
      <c r="G12" s="105">
        <v>0.0</v>
      </c>
      <c r="H12" s="105">
        <v>0.0</v>
      </c>
      <c r="I12" s="105">
        <v>0.0</v>
      </c>
      <c r="J12" s="105">
        <f t="shared" si="2"/>
        <v>8.71</v>
      </c>
      <c r="K12" s="105">
        <f t="shared" si="3"/>
        <v>8.71</v>
      </c>
    </row>
    <row r="13">
      <c r="C13" s="2">
        <v>9.0</v>
      </c>
      <c r="D13" s="91">
        <v>44690.0</v>
      </c>
      <c r="E13" s="105">
        <v>0.0</v>
      </c>
      <c r="F13" s="105">
        <v>0.0</v>
      </c>
      <c r="G13" s="105">
        <v>0.0</v>
      </c>
      <c r="H13" s="105">
        <v>0.0</v>
      </c>
      <c r="I13" s="105">
        <v>0.0</v>
      </c>
      <c r="J13" s="105">
        <f t="shared" si="2"/>
        <v>0</v>
      </c>
      <c r="K13" s="105">
        <f t="shared" si="3"/>
        <v>0</v>
      </c>
    </row>
    <row r="14">
      <c r="C14" s="2">
        <v>10.0</v>
      </c>
      <c r="D14" s="91">
        <v>44691.0</v>
      </c>
      <c r="E14" s="105">
        <v>21.5</v>
      </c>
      <c r="F14" s="105">
        <f>7+37</f>
        <v>44</v>
      </c>
      <c r="G14" s="105">
        <v>0.0</v>
      </c>
      <c r="H14" s="105">
        <v>0.0</v>
      </c>
      <c r="I14" s="105">
        <v>0.0</v>
      </c>
      <c r="J14" s="105">
        <f t="shared" si="2"/>
        <v>65.5</v>
      </c>
      <c r="K14" s="105">
        <f t="shared" si="3"/>
        <v>65.5</v>
      </c>
    </row>
    <row r="15">
      <c r="C15" s="2">
        <v>11.0</v>
      </c>
      <c r="D15" s="91">
        <v>44692.0</v>
      </c>
      <c r="E15" s="105">
        <f>79.55+71.87</f>
        <v>151.42</v>
      </c>
      <c r="F15" s="105">
        <v>0.0</v>
      </c>
      <c r="G15" s="105">
        <v>0.0</v>
      </c>
      <c r="H15" s="105">
        <v>0.0</v>
      </c>
      <c r="I15" s="105">
        <v>0.0</v>
      </c>
      <c r="J15" s="105">
        <f t="shared" si="2"/>
        <v>151.42</v>
      </c>
      <c r="K15" s="105">
        <f t="shared" si="3"/>
        <v>151.42</v>
      </c>
    </row>
    <row r="16">
      <c r="C16" s="2">
        <v>12.0</v>
      </c>
      <c r="D16" s="91">
        <v>44693.0</v>
      </c>
      <c r="E16" s="105">
        <f>21.9+45.9</f>
        <v>67.8</v>
      </c>
      <c r="F16" s="105">
        <v>7.0</v>
      </c>
      <c r="G16" s="105">
        <v>0.0</v>
      </c>
      <c r="H16" s="105">
        <v>0.0</v>
      </c>
      <c r="I16" s="105">
        <v>0.0</v>
      </c>
      <c r="J16" s="105">
        <f t="shared" si="2"/>
        <v>74.8</v>
      </c>
      <c r="K16" s="105">
        <f t="shared" si="3"/>
        <v>74.8</v>
      </c>
    </row>
    <row r="17">
      <c r="C17" s="2">
        <v>13.0</v>
      </c>
      <c r="D17" s="91">
        <v>44694.0</v>
      </c>
      <c r="E17" s="105">
        <v>0.0</v>
      </c>
      <c r="F17" s="105">
        <f>70.8+7</f>
        <v>77.8</v>
      </c>
      <c r="G17" s="105">
        <v>0.0</v>
      </c>
      <c r="H17" s="105">
        <v>0.0</v>
      </c>
      <c r="I17" s="105">
        <v>0.0</v>
      </c>
      <c r="J17" s="105">
        <f t="shared" si="2"/>
        <v>77.8</v>
      </c>
      <c r="K17" s="105">
        <f t="shared" si="3"/>
        <v>77.8</v>
      </c>
    </row>
    <row r="18">
      <c r="C18" s="2">
        <v>14.0</v>
      </c>
      <c r="D18" s="91">
        <v>44695.0</v>
      </c>
      <c r="E18" s="105">
        <v>11.0</v>
      </c>
      <c r="F18" s="105">
        <v>0.0</v>
      </c>
      <c r="G18" s="105">
        <v>0.0</v>
      </c>
      <c r="H18" s="105">
        <v>0.0</v>
      </c>
      <c r="I18" s="105">
        <v>0.0</v>
      </c>
      <c r="J18" s="105">
        <f t="shared" si="2"/>
        <v>11</v>
      </c>
      <c r="K18" s="105">
        <f t="shared" si="3"/>
        <v>11</v>
      </c>
    </row>
    <row r="19">
      <c r="C19" s="2">
        <v>15.0</v>
      </c>
      <c r="D19" s="91">
        <v>44696.0</v>
      </c>
      <c r="E19" s="105">
        <v>20.0</v>
      </c>
      <c r="F19" s="105">
        <v>0.0</v>
      </c>
      <c r="G19" s="105">
        <v>0.0</v>
      </c>
      <c r="H19" s="105">
        <v>0.0</v>
      </c>
      <c r="I19" s="105">
        <v>0.0</v>
      </c>
      <c r="J19" s="105">
        <f t="shared" si="2"/>
        <v>20</v>
      </c>
      <c r="K19" s="105">
        <f t="shared" si="3"/>
        <v>20</v>
      </c>
    </row>
    <row r="20">
      <c r="C20" s="2">
        <v>16.0</v>
      </c>
      <c r="D20" s="91">
        <v>44697.0</v>
      </c>
      <c r="E20" s="105">
        <v>51.99</v>
      </c>
      <c r="F20" s="105">
        <v>0.0</v>
      </c>
      <c r="G20" s="105">
        <v>0.0</v>
      </c>
      <c r="H20" s="105">
        <v>0.0</v>
      </c>
      <c r="I20" s="105">
        <v>0.0</v>
      </c>
      <c r="J20" s="105">
        <f t="shared" si="2"/>
        <v>51.99</v>
      </c>
      <c r="K20" s="105">
        <f t="shared" si="3"/>
        <v>51.99</v>
      </c>
    </row>
    <row r="21" ht="15.75" customHeight="1">
      <c r="C21" s="2">
        <v>17.0</v>
      </c>
      <c r="D21" s="91">
        <v>44698.0</v>
      </c>
      <c r="E21" s="105">
        <f>40+43.05</f>
        <v>83.05</v>
      </c>
      <c r="F21" s="105">
        <v>14.0</v>
      </c>
      <c r="G21" s="105">
        <v>0.0</v>
      </c>
      <c r="H21" s="105">
        <v>0.0</v>
      </c>
      <c r="I21" s="105">
        <v>0.0</v>
      </c>
      <c r="J21" s="105">
        <f t="shared" si="2"/>
        <v>97.05</v>
      </c>
      <c r="K21" s="105">
        <f t="shared" si="3"/>
        <v>97.05</v>
      </c>
    </row>
    <row r="22" ht="15.75" customHeight="1">
      <c r="C22" s="2">
        <v>18.0</v>
      </c>
      <c r="D22" s="91">
        <v>44699.0</v>
      </c>
      <c r="E22" s="105">
        <v>41.18</v>
      </c>
      <c r="F22" s="105">
        <v>14.0</v>
      </c>
      <c r="G22" s="105">
        <v>0.0</v>
      </c>
      <c r="H22" s="105">
        <v>0.0</v>
      </c>
      <c r="I22" s="105">
        <v>0.0</v>
      </c>
      <c r="J22" s="105">
        <f t="shared" si="2"/>
        <v>55.18</v>
      </c>
      <c r="K22" s="105">
        <f t="shared" si="3"/>
        <v>55.18</v>
      </c>
    </row>
    <row r="23" ht="15.75" customHeight="1">
      <c r="C23" s="2">
        <v>19.0</v>
      </c>
      <c r="D23" s="91">
        <v>44700.0</v>
      </c>
      <c r="E23" s="105">
        <f>35+28.24+59.24+47.39</f>
        <v>169.87</v>
      </c>
      <c r="F23" s="105">
        <v>0.0</v>
      </c>
      <c r="G23" s="105">
        <v>0.0</v>
      </c>
      <c r="H23" s="105">
        <v>0.0</v>
      </c>
      <c r="I23" s="105">
        <v>0.0</v>
      </c>
      <c r="J23" s="105">
        <f t="shared" si="2"/>
        <v>169.87</v>
      </c>
      <c r="K23" s="105">
        <f t="shared" si="3"/>
        <v>169.87</v>
      </c>
    </row>
    <row r="24" ht="15.75" customHeight="1">
      <c r="C24" s="2">
        <v>20.0</v>
      </c>
      <c r="D24" s="91">
        <v>44701.0</v>
      </c>
      <c r="E24" s="105">
        <v>56.81</v>
      </c>
      <c r="F24" s="105">
        <v>14.0</v>
      </c>
      <c r="G24" s="105">
        <v>0.0</v>
      </c>
      <c r="H24" s="105">
        <v>0.0</v>
      </c>
      <c r="I24" s="105">
        <v>0.0</v>
      </c>
      <c r="J24" s="105">
        <f t="shared" si="2"/>
        <v>70.81</v>
      </c>
      <c r="K24" s="105">
        <f t="shared" si="3"/>
        <v>70.81</v>
      </c>
    </row>
    <row r="25" ht="15.75" customHeight="1">
      <c r="C25" s="2">
        <v>21.0</v>
      </c>
      <c r="D25" s="91">
        <v>44702.0</v>
      </c>
      <c r="E25" s="105">
        <f>98.02+45.16+27.1</f>
        <v>170.28</v>
      </c>
      <c r="F25" s="105">
        <v>0.0</v>
      </c>
      <c r="G25" s="105">
        <v>0.0</v>
      </c>
      <c r="H25" s="105">
        <v>0.0</v>
      </c>
      <c r="I25" s="105">
        <v>0.0</v>
      </c>
      <c r="J25" s="105">
        <f t="shared" si="2"/>
        <v>170.28</v>
      </c>
      <c r="K25" s="105">
        <f t="shared" si="3"/>
        <v>170.28</v>
      </c>
    </row>
    <row r="26" ht="15.75" customHeight="1">
      <c r="C26" s="2">
        <v>22.0</v>
      </c>
      <c r="D26" s="91">
        <v>44703.0</v>
      </c>
      <c r="E26" s="105">
        <v>34.9</v>
      </c>
      <c r="F26" s="105">
        <v>0.0</v>
      </c>
      <c r="G26" s="105">
        <v>0.0</v>
      </c>
      <c r="H26" s="105">
        <v>0.0</v>
      </c>
      <c r="I26" s="105">
        <v>0.0</v>
      </c>
      <c r="J26" s="105">
        <f t="shared" si="2"/>
        <v>34.9</v>
      </c>
      <c r="K26" s="105">
        <f t="shared" si="3"/>
        <v>34.9</v>
      </c>
    </row>
    <row r="27" ht="15.75" customHeight="1">
      <c r="C27" s="2">
        <v>23.0</v>
      </c>
      <c r="D27" s="91">
        <v>44704.0</v>
      </c>
      <c r="E27" s="105">
        <f>20+32.49+90.2</f>
        <v>142.69</v>
      </c>
      <c r="F27" s="105">
        <v>0.0</v>
      </c>
      <c r="G27" s="105">
        <v>0.0</v>
      </c>
      <c r="H27" s="105">
        <v>0.0</v>
      </c>
      <c r="I27" s="105">
        <v>0.0</v>
      </c>
      <c r="J27" s="105">
        <f t="shared" si="2"/>
        <v>142.69</v>
      </c>
      <c r="K27" s="105">
        <f t="shared" si="3"/>
        <v>142.69</v>
      </c>
    </row>
    <row r="28" ht="15.75" customHeight="1">
      <c r="C28" s="2">
        <v>24.0</v>
      </c>
      <c r="D28" s="91">
        <v>44705.0</v>
      </c>
      <c r="E28" s="105">
        <f>15+9.5+32.05</f>
        <v>56.55</v>
      </c>
      <c r="F28" s="105">
        <v>14.0</v>
      </c>
      <c r="G28" s="105">
        <v>0.0</v>
      </c>
      <c r="H28" s="105">
        <v>0.0</v>
      </c>
      <c r="I28" s="105">
        <v>0.0</v>
      </c>
      <c r="J28" s="105">
        <f t="shared" si="2"/>
        <v>70.55</v>
      </c>
      <c r="K28" s="105">
        <f t="shared" si="3"/>
        <v>70.55</v>
      </c>
    </row>
    <row r="29" ht="15.75" customHeight="1">
      <c r="C29" s="2">
        <v>25.0</v>
      </c>
      <c r="D29" s="91">
        <v>44706.0</v>
      </c>
      <c r="E29" s="105">
        <v>31.0</v>
      </c>
      <c r="F29" s="105">
        <v>0.0</v>
      </c>
      <c r="G29" s="105">
        <v>0.0</v>
      </c>
      <c r="H29" s="105">
        <v>0.0</v>
      </c>
      <c r="I29" s="105">
        <v>0.0</v>
      </c>
      <c r="J29" s="105">
        <f t="shared" si="2"/>
        <v>31</v>
      </c>
      <c r="K29" s="105">
        <f t="shared" si="3"/>
        <v>31</v>
      </c>
    </row>
    <row r="30" ht="15.75" customHeight="1">
      <c r="C30" s="2">
        <v>26.0</v>
      </c>
      <c r="D30" s="91">
        <v>44707.0</v>
      </c>
      <c r="E30" s="105">
        <f>35+31.15</f>
        <v>66.15</v>
      </c>
      <c r="F30" s="105">
        <v>0.0</v>
      </c>
      <c r="G30" s="105">
        <v>0.0</v>
      </c>
      <c r="H30" s="105">
        <v>0.0</v>
      </c>
      <c r="I30" s="105">
        <v>0.0</v>
      </c>
      <c r="J30" s="105">
        <f t="shared" si="2"/>
        <v>66.15</v>
      </c>
      <c r="K30" s="105">
        <f t="shared" si="3"/>
        <v>66.15</v>
      </c>
    </row>
    <row r="31" ht="15.75" customHeight="1">
      <c r="C31" s="2">
        <v>27.0</v>
      </c>
      <c r="D31" s="91">
        <v>44708.0</v>
      </c>
      <c r="E31" s="105">
        <f>14.5+138+105</f>
        <v>257.5</v>
      </c>
      <c r="F31" s="105">
        <f>14+31</f>
        <v>45</v>
      </c>
      <c r="G31" s="105">
        <v>0.0</v>
      </c>
      <c r="H31" s="105">
        <v>0.0</v>
      </c>
      <c r="I31" s="105">
        <v>0.0</v>
      </c>
      <c r="J31" s="105">
        <f t="shared" si="2"/>
        <v>302.5</v>
      </c>
      <c r="K31" s="105">
        <f t="shared" si="3"/>
        <v>302.5</v>
      </c>
    </row>
    <row r="32" ht="15.75" customHeight="1">
      <c r="C32" s="2">
        <v>28.0</v>
      </c>
      <c r="D32" s="91">
        <v>44709.0</v>
      </c>
      <c r="E32" s="105">
        <v>0.0</v>
      </c>
      <c r="F32" s="105">
        <v>0.0</v>
      </c>
      <c r="G32" s="105">
        <v>0.0</v>
      </c>
      <c r="H32" s="105">
        <v>0.0</v>
      </c>
      <c r="I32" s="105">
        <v>40.0</v>
      </c>
      <c r="J32" s="105">
        <f t="shared" si="2"/>
        <v>0</v>
      </c>
      <c r="K32" s="105">
        <f t="shared" si="3"/>
        <v>40</v>
      </c>
    </row>
    <row r="33" ht="15.75" customHeight="1">
      <c r="C33" s="2">
        <v>29.0</v>
      </c>
      <c r="D33" s="91">
        <v>44710.0</v>
      </c>
      <c r="E33" s="105">
        <v>53.38</v>
      </c>
      <c r="F33" s="105">
        <v>0.0</v>
      </c>
      <c r="G33" s="105">
        <v>0.0</v>
      </c>
      <c r="H33" s="105">
        <v>0.0</v>
      </c>
      <c r="I33" s="105">
        <v>0.0</v>
      </c>
      <c r="J33" s="105">
        <f t="shared" si="2"/>
        <v>53.38</v>
      </c>
      <c r="K33" s="105">
        <f t="shared" si="3"/>
        <v>53.38</v>
      </c>
    </row>
    <row r="34" ht="15.75" customHeight="1">
      <c r="C34" s="2">
        <v>30.0</v>
      </c>
      <c r="D34" s="91">
        <v>44711.0</v>
      </c>
      <c r="E34" s="105">
        <f>21.5+85</f>
        <v>106.5</v>
      </c>
      <c r="F34" s="105">
        <v>0.0</v>
      </c>
      <c r="G34" s="105">
        <v>0.0</v>
      </c>
      <c r="H34" s="105">
        <v>0.0</v>
      </c>
      <c r="I34" s="105">
        <f>80+165</f>
        <v>245</v>
      </c>
      <c r="J34" s="105">
        <f t="shared" si="2"/>
        <v>106.5</v>
      </c>
      <c r="K34" s="105">
        <f t="shared" si="3"/>
        <v>351.5</v>
      </c>
    </row>
    <row r="35" ht="15.75" customHeight="1">
      <c r="C35" s="2">
        <v>31.0</v>
      </c>
      <c r="D35" s="91">
        <v>44712.0</v>
      </c>
      <c r="E35" s="105">
        <v>45.16</v>
      </c>
      <c r="F35" s="105">
        <v>0.0</v>
      </c>
      <c r="G35" s="105">
        <v>500.0</v>
      </c>
      <c r="H35" s="105">
        <v>224.0</v>
      </c>
      <c r="I35" s="105">
        <v>0.0</v>
      </c>
      <c r="J35" s="105">
        <f t="shared" si="2"/>
        <v>45.16</v>
      </c>
      <c r="K35" s="105">
        <f t="shared" si="3"/>
        <v>769.16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P3:P4"/>
    <mergeCell ref="Q3:Q4"/>
    <mergeCell ref="E3:I3"/>
    <mergeCell ref="J3:J4"/>
    <mergeCell ref="K3:K4"/>
    <mergeCell ref="L3:L4"/>
    <mergeCell ref="M3:M4"/>
    <mergeCell ref="N3:N4"/>
    <mergeCell ref="O3:O4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9.43"/>
    <col customWidth="1" min="4" max="4" width="6.43"/>
    <col customWidth="1" min="5" max="5" width="13.14"/>
    <col customWidth="1" min="6" max="8" width="6.43"/>
    <col customWidth="1" min="9" max="9" width="12.29"/>
    <col customWidth="1" min="10" max="10" width="7.14"/>
    <col customWidth="1" min="11" max="11" width="14.14"/>
    <col customWidth="1" min="12" max="12" width="8.43"/>
    <col customWidth="1" min="13" max="19" width="8.86"/>
    <col customWidth="1" min="20" max="20" width="11.14"/>
    <col customWidth="1" min="21" max="26" width="8.86"/>
  </cols>
  <sheetData>
    <row r="2" ht="14.25" customHeight="1">
      <c r="D2" s="178" t="s">
        <v>95</v>
      </c>
      <c r="E2" s="179"/>
      <c r="F2" s="179"/>
      <c r="G2" s="179"/>
      <c r="H2" s="180"/>
      <c r="I2" s="181" t="s">
        <v>96</v>
      </c>
      <c r="J2" s="182" t="s">
        <v>67</v>
      </c>
      <c r="K2" s="183" t="s">
        <v>97</v>
      </c>
      <c r="L2" s="184" t="s">
        <v>98</v>
      </c>
      <c r="M2" s="183" t="s">
        <v>99</v>
      </c>
      <c r="N2" s="183" t="s">
        <v>100</v>
      </c>
      <c r="O2" s="185" t="s">
        <v>66</v>
      </c>
      <c r="P2" s="184" t="s">
        <v>101</v>
      </c>
    </row>
    <row r="3">
      <c r="C3" s="106" t="s">
        <v>60</v>
      </c>
      <c r="D3" s="189" t="s">
        <v>35</v>
      </c>
      <c r="E3" s="190" t="s">
        <v>37</v>
      </c>
      <c r="F3" s="190" t="s">
        <v>62</v>
      </c>
      <c r="G3" s="190" t="s">
        <v>40</v>
      </c>
      <c r="H3" s="190" t="s">
        <v>66</v>
      </c>
      <c r="I3" s="188"/>
      <c r="J3" s="191"/>
      <c r="K3" s="188"/>
      <c r="L3" s="188"/>
      <c r="M3" s="188"/>
      <c r="N3" s="188"/>
      <c r="O3" s="188"/>
      <c r="P3" s="188"/>
    </row>
    <row r="4">
      <c r="B4" s="2">
        <v>1.0</v>
      </c>
      <c r="C4" s="91">
        <v>44652.0</v>
      </c>
      <c r="D4" s="105">
        <v>15.7</v>
      </c>
      <c r="E4" s="105">
        <v>14.0</v>
      </c>
      <c r="F4" s="105">
        <v>0.0</v>
      </c>
      <c r="G4" s="105">
        <v>0.0</v>
      </c>
      <c r="H4" s="105">
        <v>0.0</v>
      </c>
      <c r="I4" s="105">
        <f t="shared" ref="I4:I33" si="2">+SUM(D4,E4)</f>
        <v>29.7</v>
      </c>
      <c r="J4" s="105">
        <f t="shared" ref="J4:J33" si="3">+SUM(D4:H4)</f>
        <v>29.7</v>
      </c>
      <c r="K4" s="113">
        <f t="shared" ref="K4:L4" si="1">+AVERAGE(I4:I34)</f>
        <v>78.78966667</v>
      </c>
      <c r="L4" s="113">
        <f t="shared" si="1"/>
        <v>180.8053333</v>
      </c>
      <c r="M4" s="113">
        <f>+SUM(I4:I34)</f>
        <v>2363.69</v>
      </c>
      <c r="N4" s="113">
        <f>+SUM(E4:E33)</f>
        <v>233</v>
      </c>
      <c r="O4" s="113">
        <f>+SUM(H4:H34)</f>
        <v>1789.22</v>
      </c>
      <c r="P4" s="113">
        <f>+SUM(J4:J34)</f>
        <v>5424.16</v>
      </c>
      <c r="T4" s="2" t="s">
        <v>102</v>
      </c>
    </row>
    <row r="5">
      <c r="B5" s="2">
        <v>2.0</v>
      </c>
      <c r="C5" s="91">
        <v>44653.0</v>
      </c>
      <c r="D5" s="105">
        <f>47+48.44+110+21.5</f>
        <v>226.94</v>
      </c>
      <c r="E5" s="105">
        <v>0.0</v>
      </c>
      <c r="F5" s="105">
        <v>0.0</v>
      </c>
      <c r="G5" s="105">
        <v>0.0</v>
      </c>
      <c r="H5" s="105">
        <v>0.0</v>
      </c>
      <c r="I5" s="105">
        <f t="shared" si="2"/>
        <v>226.94</v>
      </c>
      <c r="J5" s="105">
        <f t="shared" si="3"/>
        <v>226.94</v>
      </c>
      <c r="T5" s="2">
        <f>80+80+100+125+40</f>
        <v>425</v>
      </c>
    </row>
    <row r="6">
      <c r="B6" s="2">
        <v>3.0</v>
      </c>
      <c r="C6" s="91">
        <v>44654.0</v>
      </c>
      <c r="D6" s="105">
        <v>61.51</v>
      </c>
      <c r="E6" s="105">
        <v>0.0</v>
      </c>
      <c r="F6" s="105">
        <v>0.0</v>
      </c>
      <c r="G6" s="105">
        <v>0.0</v>
      </c>
      <c r="H6" s="105">
        <v>0.0</v>
      </c>
      <c r="I6" s="105">
        <f t="shared" si="2"/>
        <v>61.51</v>
      </c>
      <c r="J6" s="105">
        <f t="shared" si="3"/>
        <v>61.51</v>
      </c>
    </row>
    <row r="7">
      <c r="B7" s="2">
        <v>4.0</v>
      </c>
      <c r="C7" s="91">
        <v>44655.0</v>
      </c>
      <c r="D7" s="105">
        <v>27.0</v>
      </c>
      <c r="E7" s="105">
        <v>0.0</v>
      </c>
      <c r="F7" s="105">
        <v>0.0</v>
      </c>
      <c r="G7" s="105">
        <v>0.0</v>
      </c>
      <c r="H7" s="105">
        <v>0.0</v>
      </c>
      <c r="I7" s="105">
        <f t="shared" si="2"/>
        <v>27</v>
      </c>
      <c r="J7" s="105">
        <f t="shared" si="3"/>
        <v>27</v>
      </c>
    </row>
    <row r="8">
      <c r="B8" s="2">
        <v>5.0</v>
      </c>
      <c r="C8" s="91">
        <v>44656.0</v>
      </c>
      <c r="D8" s="105">
        <f>83+52.91</f>
        <v>135.91</v>
      </c>
      <c r="E8" s="105">
        <v>7.0</v>
      </c>
      <c r="F8" s="105">
        <v>0.0</v>
      </c>
      <c r="G8" s="105">
        <v>0.0</v>
      </c>
      <c r="H8" s="105">
        <v>7.9</v>
      </c>
      <c r="I8" s="105">
        <f t="shared" si="2"/>
        <v>142.91</v>
      </c>
      <c r="J8" s="105">
        <f t="shared" si="3"/>
        <v>150.81</v>
      </c>
    </row>
    <row r="9">
      <c r="B9" s="2">
        <v>6.0</v>
      </c>
      <c r="C9" s="91">
        <v>44657.0</v>
      </c>
      <c r="D9" s="105">
        <f>119.51+45.2</f>
        <v>164.71</v>
      </c>
      <c r="E9" s="105">
        <v>0.0</v>
      </c>
      <c r="F9" s="105">
        <v>0.0</v>
      </c>
      <c r="G9" s="105">
        <v>0.0</v>
      </c>
      <c r="H9" s="105">
        <v>95.99</v>
      </c>
      <c r="I9" s="105">
        <f t="shared" si="2"/>
        <v>164.71</v>
      </c>
      <c r="J9" s="105">
        <f t="shared" si="3"/>
        <v>260.7</v>
      </c>
    </row>
    <row r="10">
      <c r="B10" s="2">
        <v>7.0</v>
      </c>
      <c r="C10" s="91">
        <v>44658.0</v>
      </c>
      <c r="D10" s="105">
        <v>92.3</v>
      </c>
      <c r="E10" s="105">
        <v>14.0</v>
      </c>
      <c r="F10" s="105">
        <v>0.0</v>
      </c>
      <c r="G10" s="105">
        <f>67.5+91.75+122</f>
        <v>281.25</v>
      </c>
      <c r="H10" s="105">
        <v>0.0</v>
      </c>
      <c r="I10" s="105">
        <f t="shared" si="2"/>
        <v>106.3</v>
      </c>
      <c r="J10" s="105">
        <f t="shared" si="3"/>
        <v>387.55</v>
      </c>
    </row>
    <row r="11">
      <c r="B11" s="2">
        <v>8.0</v>
      </c>
      <c r="C11" s="91">
        <v>44659.0</v>
      </c>
      <c r="D11" s="105">
        <v>18.47</v>
      </c>
      <c r="E11" s="105">
        <v>14.0</v>
      </c>
      <c r="F11" s="105">
        <v>0.0</v>
      </c>
      <c r="G11" s="105">
        <v>0.0</v>
      </c>
      <c r="H11" s="105">
        <v>0.0</v>
      </c>
      <c r="I11" s="105">
        <f t="shared" si="2"/>
        <v>32.47</v>
      </c>
      <c r="J11" s="105">
        <f t="shared" si="3"/>
        <v>32.47</v>
      </c>
    </row>
    <row r="12">
      <c r="B12" s="2">
        <v>9.0</v>
      </c>
      <c r="C12" s="91">
        <v>44660.0</v>
      </c>
      <c r="D12" s="105">
        <v>37.0</v>
      </c>
      <c r="E12" s="105">
        <v>0.0</v>
      </c>
      <c r="F12" s="105">
        <v>0.0</v>
      </c>
      <c r="G12" s="105">
        <v>0.0</v>
      </c>
      <c r="H12" s="105">
        <v>0.0</v>
      </c>
      <c r="I12" s="105">
        <f t="shared" si="2"/>
        <v>37</v>
      </c>
      <c r="J12" s="105">
        <f t="shared" si="3"/>
        <v>37</v>
      </c>
    </row>
    <row r="13">
      <c r="B13" s="2">
        <v>10.0</v>
      </c>
      <c r="C13" s="91">
        <v>44661.0</v>
      </c>
      <c r="D13" s="105">
        <v>0.0</v>
      </c>
      <c r="E13" s="105">
        <v>0.0</v>
      </c>
      <c r="F13" s="105">
        <v>0.0</v>
      </c>
      <c r="G13" s="105">
        <v>0.0</v>
      </c>
      <c r="H13" s="105">
        <v>104.59</v>
      </c>
      <c r="I13" s="105">
        <f t="shared" si="2"/>
        <v>0</v>
      </c>
      <c r="J13" s="105">
        <f t="shared" si="3"/>
        <v>104.59</v>
      </c>
    </row>
    <row r="14">
      <c r="B14" s="2">
        <v>11.0</v>
      </c>
      <c r="C14" s="91">
        <v>44662.0</v>
      </c>
      <c r="D14" s="105">
        <v>17.31</v>
      </c>
      <c r="E14" s="105">
        <v>0.0</v>
      </c>
      <c r="F14" s="105">
        <v>0.0</v>
      </c>
      <c r="G14" s="105">
        <v>0.0</v>
      </c>
      <c r="H14" s="105">
        <v>0.0</v>
      </c>
      <c r="I14" s="105">
        <f t="shared" si="2"/>
        <v>17.31</v>
      </c>
      <c r="J14" s="105">
        <f t="shared" si="3"/>
        <v>17.31</v>
      </c>
    </row>
    <row r="15">
      <c r="B15" s="2">
        <v>12.0</v>
      </c>
      <c r="C15" s="91">
        <v>44663.0</v>
      </c>
      <c r="D15" s="105">
        <f>21.5+31.75+22.58+61.09+7</f>
        <v>143.92</v>
      </c>
      <c r="E15" s="105">
        <v>14.0</v>
      </c>
      <c r="F15" s="105">
        <v>0.0</v>
      </c>
      <c r="G15" s="105">
        <v>0.0</v>
      </c>
      <c r="H15" s="105">
        <v>0.0</v>
      </c>
      <c r="I15" s="105">
        <f t="shared" si="2"/>
        <v>157.92</v>
      </c>
      <c r="J15" s="105">
        <f t="shared" si="3"/>
        <v>157.92</v>
      </c>
    </row>
    <row r="16">
      <c r="B16" s="2">
        <v>13.0</v>
      </c>
      <c r="C16" s="91">
        <v>44664.0</v>
      </c>
      <c r="D16" s="105">
        <v>0.0</v>
      </c>
      <c r="E16" s="105">
        <v>0.0</v>
      </c>
      <c r="F16" s="105">
        <v>0.0</v>
      </c>
      <c r="G16" s="105">
        <v>0.0</v>
      </c>
      <c r="H16" s="105">
        <v>0.0</v>
      </c>
      <c r="I16" s="105">
        <f t="shared" si="2"/>
        <v>0</v>
      </c>
      <c r="J16" s="105">
        <f t="shared" si="3"/>
        <v>0</v>
      </c>
    </row>
    <row r="17">
      <c r="B17" s="2">
        <v>14.0</v>
      </c>
      <c r="C17" s="91">
        <v>44665.0</v>
      </c>
      <c r="D17" s="105">
        <v>8.5</v>
      </c>
      <c r="E17" s="105">
        <v>14.0</v>
      </c>
      <c r="F17" s="105">
        <v>0.0</v>
      </c>
      <c r="G17" s="105">
        <v>0.0</v>
      </c>
      <c r="H17" s="105">
        <v>0.0</v>
      </c>
      <c r="I17" s="105">
        <f t="shared" si="2"/>
        <v>22.5</v>
      </c>
      <c r="J17" s="105">
        <f t="shared" si="3"/>
        <v>22.5</v>
      </c>
    </row>
    <row r="18">
      <c r="B18" s="2">
        <v>15.0</v>
      </c>
      <c r="C18" s="91">
        <v>44666.0</v>
      </c>
      <c r="D18" s="105">
        <f>31.98+7+7.5+13.9+7</f>
        <v>67.38</v>
      </c>
      <c r="E18" s="105">
        <v>14.0</v>
      </c>
      <c r="F18" s="105">
        <v>0.0</v>
      </c>
      <c r="G18" s="105">
        <v>0.0</v>
      </c>
      <c r="H18" s="105">
        <v>0.0</v>
      </c>
      <c r="I18" s="105">
        <f t="shared" si="2"/>
        <v>81.38</v>
      </c>
      <c r="J18" s="105">
        <f t="shared" si="3"/>
        <v>81.38</v>
      </c>
    </row>
    <row r="19">
      <c r="B19" s="2">
        <v>16.0</v>
      </c>
      <c r="C19" s="91">
        <v>44667.0</v>
      </c>
      <c r="D19" s="105">
        <f>49+125</f>
        <v>174</v>
      </c>
      <c r="E19" s="105">
        <v>0.0</v>
      </c>
      <c r="F19" s="105">
        <v>0.0</v>
      </c>
      <c r="G19" s="105">
        <v>0.0</v>
      </c>
      <c r="H19" s="105">
        <v>152.0</v>
      </c>
      <c r="I19" s="105">
        <f t="shared" si="2"/>
        <v>174</v>
      </c>
      <c r="J19" s="105">
        <f t="shared" si="3"/>
        <v>326</v>
      </c>
    </row>
    <row r="20">
      <c r="B20" s="2">
        <v>17.0</v>
      </c>
      <c r="C20" s="91">
        <v>44668.0</v>
      </c>
      <c r="D20" s="105">
        <f>15+15.9+38.8</f>
        <v>69.7</v>
      </c>
      <c r="E20" s="105">
        <v>0.0</v>
      </c>
      <c r="F20" s="105">
        <v>0.0</v>
      </c>
      <c r="G20" s="105">
        <v>0.0</v>
      </c>
      <c r="H20" s="105">
        <v>0.0</v>
      </c>
      <c r="I20" s="105">
        <f t="shared" si="2"/>
        <v>69.7</v>
      </c>
      <c r="J20" s="105">
        <f t="shared" si="3"/>
        <v>69.7</v>
      </c>
    </row>
    <row r="21" ht="15.75" customHeight="1">
      <c r="B21" s="2">
        <v>18.0</v>
      </c>
      <c r="C21" s="91">
        <v>44669.0</v>
      </c>
      <c r="D21" s="105">
        <v>62.35</v>
      </c>
      <c r="E21" s="105">
        <v>0.0</v>
      </c>
      <c r="F21" s="105">
        <v>0.0</v>
      </c>
      <c r="G21" s="105">
        <v>0.0</v>
      </c>
      <c r="H21" s="105">
        <v>659.0</v>
      </c>
      <c r="I21" s="105">
        <f t="shared" si="2"/>
        <v>62.35</v>
      </c>
      <c r="J21" s="105">
        <f t="shared" si="3"/>
        <v>721.35</v>
      </c>
    </row>
    <row r="22" ht="15.75" customHeight="1">
      <c r="B22" s="2">
        <v>19.0</v>
      </c>
      <c r="C22" s="91">
        <v>44670.0</v>
      </c>
      <c r="D22" s="105">
        <f>6+36.41+14</f>
        <v>56.41</v>
      </c>
      <c r="E22" s="105">
        <v>14.0</v>
      </c>
      <c r="F22" s="105">
        <v>0.0</v>
      </c>
      <c r="G22" s="105">
        <v>0.0</v>
      </c>
      <c r="H22" s="105">
        <v>0.0</v>
      </c>
      <c r="I22" s="105">
        <f t="shared" si="2"/>
        <v>70.41</v>
      </c>
      <c r="J22" s="105">
        <f t="shared" si="3"/>
        <v>70.41</v>
      </c>
    </row>
    <row r="23" ht="15.75" customHeight="1">
      <c r="B23" s="2">
        <v>20.0</v>
      </c>
      <c r="C23" s="91">
        <v>44671.0</v>
      </c>
      <c r="D23" s="105">
        <f>47.88+41.45+33.52</f>
        <v>122.85</v>
      </c>
      <c r="E23" s="105">
        <v>21.0</v>
      </c>
      <c r="F23" s="105">
        <v>0.0</v>
      </c>
      <c r="G23" s="105">
        <v>0.0</v>
      </c>
      <c r="H23" s="105">
        <v>0.0</v>
      </c>
      <c r="I23" s="105">
        <f t="shared" si="2"/>
        <v>143.85</v>
      </c>
      <c r="J23" s="105">
        <f t="shared" si="3"/>
        <v>143.85</v>
      </c>
    </row>
    <row r="24" ht="15.75" customHeight="1">
      <c r="B24" s="2">
        <v>21.0</v>
      </c>
      <c r="C24" s="91">
        <v>44672.0</v>
      </c>
      <c r="D24" s="105">
        <f>69.88+44.63+14+10.63</f>
        <v>139.14</v>
      </c>
      <c r="E24" s="105">
        <v>7.0</v>
      </c>
      <c r="F24" s="105">
        <v>0.0</v>
      </c>
      <c r="G24" s="105">
        <v>0.0</v>
      </c>
      <c r="H24" s="105">
        <v>0.0</v>
      </c>
      <c r="I24" s="105">
        <f t="shared" si="2"/>
        <v>146.14</v>
      </c>
      <c r="J24" s="105">
        <f t="shared" si="3"/>
        <v>146.14</v>
      </c>
    </row>
    <row r="25" ht="15.75" customHeight="1">
      <c r="B25" s="2">
        <v>22.0</v>
      </c>
      <c r="C25" s="91">
        <v>44673.0</v>
      </c>
      <c r="D25" s="105">
        <v>100.3</v>
      </c>
      <c r="E25" s="105">
        <v>0.0</v>
      </c>
      <c r="F25" s="105">
        <v>0.0</v>
      </c>
      <c r="G25" s="105">
        <v>0.0</v>
      </c>
      <c r="H25" s="105">
        <v>0.0</v>
      </c>
      <c r="I25" s="105">
        <f t="shared" si="2"/>
        <v>100.3</v>
      </c>
      <c r="J25" s="105">
        <f t="shared" si="3"/>
        <v>100.3</v>
      </c>
    </row>
    <row r="26" ht="15.75" customHeight="1">
      <c r="B26" s="2">
        <v>23.0</v>
      </c>
      <c r="C26" s="91">
        <v>44674.0</v>
      </c>
      <c r="D26" s="105">
        <v>0.0</v>
      </c>
      <c r="E26" s="105">
        <v>0.0</v>
      </c>
      <c r="F26" s="105">
        <v>0.0</v>
      </c>
      <c r="G26" s="105">
        <v>0.0</v>
      </c>
      <c r="H26" s="105">
        <v>0.0</v>
      </c>
      <c r="I26" s="105">
        <f t="shared" si="2"/>
        <v>0</v>
      </c>
      <c r="J26" s="105">
        <f t="shared" si="3"/>
        <v>0</v>
      </c>
    </row>
    <row r="27" ht="15.75" customHeight="1">
      <c r="B27" s="2">
        <v>24.0</v>
      </c>
      <c r="C27" s="91">
        <v>44675.0</v>
      </c>
      <c r="D27" s="105">
        <v>0.0</v>
      </c>
      <c r="E27" s="105">
        <v>34.0</v>
      </c>
      <c r="F27" s="105">
        <v>0.0</v>
      </c>
      <c r="G27" s="105">
        <v>0.0</v>
      </c>
      <c r="H27" s="105">
        <v>0.0</v>
      </c>
      <c r="I27" s="105">
        <f t="shared" si="2"/>
        <v>34</v>
      </c>
      <c r="J27" s="105">
        <f t="shared" si="3"/>
        <v>34</v>
      </c>
    </row>
    <row r="28" ht="15.75" customHeight="1">
      <c r="B28" s="2">
        <v>25.0</v>
      </c>
      <c r="C28" s="91">
        <v>44676.0</v>
      </c>
      <c r="D28" s="105">
        <v>57.69</v>
      </c>
      <c r="E28" s="105">
        <v>14.0</v>
      </c>
      <c r="F28" s="105">
        <v>0.0</v>
      </c>
      <c r="G28" s="105">
        <v>0.0</v>
      </c>
      <c r="H28" s="105">
        <v>0.0</v>
      </c>
      <c r="I28" s="105">
        <f t="shared" si="2"/>
        <v>71.69</v>
      </c>
      <c r="J28" s="105">
        <f t="shared" si="3"/>
        <v>71.69</v>
      </c>
    </row>
    <row r="29" ht="15.75" customHeight="1">
      <c r="B29" s="2">
        <v>26.0</v>
      </c>
      <c r="C29" s="91">
        <v>44677.0</v>
      </c>
      <c r="D29" s="105">
        <f>45.9+52.8</f>
        <v>98.7</v>
      </c>
      <c r="E29" s="105">
        <v>0.0</v>
      </c>
      <c r="F29" s="105">
        <v>0.0</v>
      </c>
      <c r="G29" s="105">
        <v>0.0</v>
      </c>
      <c r="H29" s="105">
        <f>107+218.78+84.72</f>
        <v>410.5</v>
      </c>
      <c r="I29" s="105">
        <f t="shared" si="2"/>
        <v>98.7</v>
      </c>
      <c r="J29" s="105">
        <f t="shared" si="3"/>
        <v>509.2</v>
      </c>
    </row>
    <row r="30" ht="15.75" customHeight="1">
      <c r="B30" s="2">
        <v>27.0</v>
      </c>
      <c r="C30" s="91">
        <v>44678.0</v>
      </c>
      <c r="D30" s="105">
        <f>41.35+42.6</f>
        <v>83.95</v>
      </c>
      <c r="E30" s="105">
        <v>0.0</v>
      </c>
      <c r="F30" s="105">
        <v>0.0</v>
      </c>
      <c r="G30" s="105">
        <v>0.0</v>
      </c>
      <c r="H30" s="105">
        <v>359.24</v>
      </c>
      <c r="I30" s="105">
        <f t="shared" si="2"/>
        <v>83.95</v>
      </c>
      <c r="J30" s="105">
        <f t="shared" si="3"/>
        <v>443.19</v>
      </c>
    </row>
    <row r="31" ht="15.75" customHeight="1">
      <c r="B31" s="2">
        <v>28.0</v>
      </c>
      <c r="C31" s="91">
        <v>44679.0</v>
      </c>
      <c r="D31" s="105">
        <f>52.75+6+36.7</f>
        <v>95.45</v>
      </c>
      <c r="E31" s="105">
        <v>14.0</v>
      </c>
      <c r="F31" s="105">
        <v>0.0</v>
      </c>
      <c r="G31" s="105">
        <v>0.0</v>
      </c>
      <c r="H31" s="105">
        <v>0.0</v>
      </c>
      <c r="I31" s="105">
        <f t="shared" si="2"/>
        <v>109.45</v>
      </c>
      <c r="J31" s="105">
        <f t="shared" si="3"/>
        <v>109.45</v>
      </c>
    </row>
    <row r="32" ht="15.75" customHeight="1">
      <c r="B32" s="2">
        <v>29.0</v>
      </c>
      <c r="C32" s="91">
        <v>44680.0</v>
      </c>
      <c r="D32" s="105">
        <v>46.0</v>
      </c>
      <c r="E32" s="105">
        <f>24+14</f>
        <v>38</v>
      </c>
      <c r="F32" s="105">
        <v>0.0</v>
      </c>
      <c r="G32" s="105">
        <v>0.0</v>
      </c>
      <c r="H32" s="105">
        <v>0.0</v>
      </c>
      <c r="I32" s="105">
        <f t="shared" si="2"/>
        <v>84</v>
      </c>
      <c r="J32" s="105">
        <f t="shared" si="3"/>
        <v>84</v>
      </c>
    </row>
    <row r="33" ht="15.75" customHeight="1">
      <c r="B33" s="2">
        <v>30.0</v>
      </c>
      <c r="C33" s="91">
        <v>44681.0</v>
      </c>
      <c r="D33" s="105">
        <v>7.5</v>
      </c>
      <c r="E33" s="105">
        <v>0.0</v>
      </c>
      <c r="F33" s="105">
        <v>500.0</v>
      </c>
      <c r="G33" s="105">
        <f>450+40</f>
        <v>490</v>
      </c>
      <c r="H33" s="105">
        <v>0.0</v>
      </c>
      <c r="I33" s="105">
        <f t="shared" si="2"/>
        <v>7.5</v>
      </c>
      <c r="J33" s="105">
        <f t="shared" si="3"/>
        <v>997.5</v>
      </c>
    </row>
    <row r="34" ht="15.75" customHeight="1">
      <c r="F34" s="105"/>
      <c r="G34" s="10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O2:O3"/>
    <mergeCell ref="P2:P3"/>
    <mergeCell ref="D2:H2"/>
    <mergeCell ref="I2:I3"/>
    <mergeCell ref="J2:J3"/>
    <mergeCell ref="K2:K3"/>
    <mergeCell ref="L2:L3"/>
    <mergeCell ref="M2:M3"/>
    <mergeCell ref="N2:N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9.43"/>
    <col customWidth="1" min="5" max="5" width="6.43"/>
    <col customWidth="1" min="6" max="6" width="13.14"/>
    <col customWidth="1" min="7" max="7" width="4.86"/>
    <col customWidth="1" min="8" max="8" width="6.43"/>
    <col customWidth="1" min="9" max="9" width="7.43"/>
    <col customWidth="1" min="10" max="10" width="8.86"/>
    <col customWidth="1" min="11" max="11" width="9.71"/>
    <col customWidth="1" min="12" max="12" width="12.71"/>
    <col customWidth="1" min="13" max="13" width="9.86"/>
    <col customWidth="1" min="14" max="15" width="14.86"/>
    <col customWidth="1" min="16" max="16" width="7.43"/>
    <col customWidth="1" min="17" max="26" width="8.86"/>
  </cols>
  <sheetData>
    <row r="3">
      <c r="E3" s="178" t="s">
        <v>95</v>
      </c>
      <c r="F3" s="179"/>
      <c r="G3" s="179"/>
      <c r="H3" s="179"/>
      <c r="I3" s="180"/>
      <c r="J3" s="181" t="s">
        <v>96</v>
      </c>
      <c r="K3" s="192" t="s">
        <v>67</v>
      </c>
      <c r="L3" s="183" t="s">
        <v>97</v>
      </c>
      <c r="M3" s="184" t="s">
        <v>98</v>
      </c>
      <c r="N3" s="183" t="s">
        <v>103</v>
      </c>
      <c r="O3" s="185" t="s">
        <v>66</v>
      </c>
      <c r="P3" s="184" t="s">
        <v>101</v>
      </c>
    </row>
    <row r="4">
      <c r="D4" s="106" t="s">
        <v>60</v>
      </c>
      <c r="E4" s="189" t="s">
        <v>35</v>
      </c>
      <c r="F4" s="190" t="s">
        <v>37</v>
      </c>
      <c r="G4" s="190" t="s">
        <v>62</v>
      </c>
      <c r="H4" s="190" t="s">
        <v>40</v>
      </c>
      <c r="I4" s="190" t="s">
        <v>66</v>
      </c>
      <c r="J4" s="188"/>
      <c r="K4" s="191"/>
      <c r="L4" s="188"/>
      <c r="M4" s="188"/>
      <c r="N4" s="188"/>
      <c r="O4" s="188"/>
      <c r="P4" s="188"/>
    </row>
    <row r="5">
      <c r="C5" s="2">
        <v>1.0</v>
      </c>
      <c r="D5" s="91">
        <v>44621.0</v>
      </c>
      <c r="E5" s="105">
        <f>12.9+59.9+32</f>
        <v>104.8</v>
      </c>
      <c r="F5" s="105">
        <v>0.0</v>
      </c>
      <c r="G5" s="105">
        <v>0.0</v>
      </c>
      <c r="H5" s="105">
        <v>0.0</v>
      </c>
      <c r="I5" s="105">
        <v>0.0</v>
      </c>
      <c r="J5" s="105">
        <f t="shared" ref="J5:J35" si="2">+SUM(E5,F5)</f>
        <v>104.8</v>
      </c>
      <c r="K5" s="105">
        <f t="shared" ref="K5:K35" si="3">+SUM(E5:I5)</f>
        <v>104.8</v>
      </c>
      <c r="L5" s="113">
        <f t="shared" ref="L5:M5" si="1">+AVERAGE(J5:J35)</f>
        <v>68.37903226</v>
      </c>
      <c r="M5" s="113">
        <f t="shared" si="1"/>
        <v>125.1177419</v>
      </c>
      <c r="N5" s="113">
        <f>+SUM(J5:J35)</f>
        <v>2119.75</v>
      </c>
      <c r="O5" s="113">
        <f>+SUM(I5:I35)</f>
        <v>1477.65</v>
      </c>
      <c r="P5" s="113">
        <f>+SUM(K5:K35)</f>
        <v>3878.65</v>
      </c>
    </row>
    <row r="6">
      <c r="C6" s="2">
        <v>2.0</v>
      </c>
      <c r="D6" s="91">
        <v>44622.0</v>
      </c>
      <c r="E6" s="105">
        <v>28.3</v>
      </c>
      <c r="F6" s="105">
        <v>0.0</v>
      </c>
      <c r="G6" s="105">
        <v>0.0</v>
      </c>
      <c r="H6" s="105">
        <v>0.0</v>
      </c>
      <c r="I6" s="105">
        <v>186.16</v>
      </c>
      <c r="J6" s="105">
        <f t="shared" si="2"/>
        <v>28.3</v>
      </c>
      <c r="K6" s="105">
        <f t="shared" si="3"/>
        <v>214.46</v>
      </c>
      <c r="L6" s="105"/>
      <c r="M6" s="105"/>
      <c r="N6" s="105"/>
      <c r="O6" s="105"/>
      <c r="P6" s="105"/>
    </row>
    <row r="7">
      <c r="C7" s="2">
        <v>3.0</v>
      </c>
      <c r="D7" s="91">
        <v>44623.0</v>
      </c>
      <c r="E7" s="105">
        <f>82+37</f>
        <v>119</v>
      </c>
      <c r="F7" s="105">
        <v>0.0</v>
      </c>
      <c r="G7" s="105">
        <v>0.0</v>
      </c>
      <c r="H7" s="105">
        <v>0.0</v>
      </c>
      <c r="I7" s="105">
        <v>7.64</v>
      </c>
      <c r="J7" s="105">
        <f t="shared" si="2"/>
        <v>119</v>
      </c>
      <c r="K7" s="105">
        <f t="shared" si="3"/>
        <v>126.64</v>
      </c>
      <c r="L7" s="105"/>
      <c r="M7" s="105"/>
      <c r="N7" s="105"/>
      <c r="O7" s="105"/>
      <c r="P7" s="105"/>
    </row>
    <row r="8">
      <c r="C8" s="2">
        <v>4.0</v>
      </c>
      <c r="D8" s="91">
        <v>44624.0</v>
      </c>
      <c r="E8" s="105">
        <v>85.72</v>
      </c>
      <c r="F8" s="105">
        <v>0.0</v>
      </c>
      <c r="G8" s="105">
        <v>0.0</v>
      </c>
      <c r="H8" s="105">
        <v>67.5</v>
      </c>
      <c r="I8" s="105">
        <v>64.65</v>
      </c>
      <c r="J8" s="105">
        <f t="shared" si="2"/>
        <v>85.72</v>
      </c>
      <c r="K8" s="105">
        <f t="shared" si="3"/>
        <v>217.87</v>
      </c>
      <c r="L8" s="105"/>
      <c r="M8" s="105"/>
      <c r="N8" s="105"/>
      <c r="O8" s="105"/>
      <c r="P8" s="105"/>
    </row>
    <row r="9">
      <c r="C9" s="2">
        <v>5.0</v>
      </c>
      <c r="D9" s="91">
        <v>44625.0</v>
      </c>
      <c r="E9" s="105">
        <v>34.94</v>
      </c>
      <c r="F9" s="105">
        <v>0.0</v>
      </c>
      <c r="G9" s="105">
        <v>0.0</v>
      </c>
      <c r="H9" s="105">
        <v>0.0</v>
      </c>
      <c r="I9" s="105">
        <f>6+7.9</f>
        <v>13.9</v>
      </c>
      <c r="J9" s="105">
        <f t="shared" si="2"/>
        <v>34.94</v>
      </c>
      <c r="K9" s="105">
        <f t="shared" si="3"/>
        <v>48.84</v>
      </c>
      <c r="L9" s="105"/>
      <c r="M9" s="105"/>
      <c r="N9" s="105"/>
      <c r="O9" s="105"/>
      <c r="P9" s="105"/>
    </row>
    <row r="10">
      <c r="C10" s="2">
        <v>6.0</v>
      </c>
      <c r="D10" s="91">
        <v>44626.0</v>
      </c>
      <c r="E10" s="105">
        <f>56.76+36.71</f>
        <v>93.47</v>
      </c>
      <c r="F10" s="105">
        <v>0.0</v>
      </c>
      <c r="G10" s="105">
        <v>0.0</v>
      </c>
      <c r="H10" s="105">
        <v>0.0</v>
      </c>
      <c r="I10" s="105">
        <f>225.16+59.9</f>
        <v>285.06</v>
      </c>
      <c r="J10" s="105">
        <f t="shared" si="2"/>
        <v>93.47</v>
      </c>
      <c r="K10" s="105">
        <f t="shared" si="3"/>
        <v>378.53</v>
      </c>
      <c r="L10" s="105"/>
      <c r="M10" s="105"/>
      <c r="N10" s="105"/>
      <c r="O10" s="105"/>
      <c r="P10" s="105"/>
    </row>
    <row r="11">
      <c r="C11" s="2">
        <v>7.0</v>
      </c>
      <c r="D11" s="91">
        <v>44627.0</v>
      </c>
      <c r="E11" s="105">
        <f>21.12+24</f>
        <v>45.12</v>
      </c>
      <c r="F11" s="105">
        <v>0.0</v>
      </c>
      <c r="G11" s="105">
        <v>0.0</v>
      </c>
      <c r="H11" s="105">
        <f>91.75+122</f>
        <v>213.75</v>
      </c>
      <c r="I11" s="105">
        <v>0.0</v>
      </c>
      <c r="J11" s="105">
        <f t="shared" si="2"/>
        <v>45.12</v>
      </c>
      <c r="K11" s="105">
        <f t="shared" si="3"/>
        <v>258.87</v>
      </c>
      <c r="L11" s="105"/>
      <c r="M11" s="105"/>
      <c r="N11" s="105"/>
      <c r="O11" s="105"/>
      <c r="P11" s="105"/>
    </row>
    <row r="12">
      <c r="C12" s="2">
        <v>8.0</v>
      </c>
      <c r="D12" s="91">
        <v>44628.0</v>
      </c>
      <c r="E12" s="105">
        <v>18.95</v>
      </c>
      <c r="F12" s="105">
        <v>10.0</v>
      </c>
      <c r="G12" s="105">
        <v>0.0</v>
      </c>
      <c r="H12" s="105">
        <v>0.0</v>
      </c>
      <c r="I12" s="105">
        <v>50.0</v>
      </c>
      <c r="J12" s="105">
        <f t="shared" si="2"/>
        <v>28.95</v>
      </c>
      <c r="K12" s="105">
        <f t="shared" si="3"/>
        <v>78.95</v>
      </c>
      <c r="L12" s="105"/>
      <c r="M12" s="105"/>
      <c r="N12" s="105"/>
      <c r="O12" s="105"/>
      <c r="P12" s="105"/>
    </row>
    <row r="13">
      <c r="C13" s="2">
        <v>9.0</v>
      </c>
      <c r="D13" s="91">
        <v>44629.0</v>
      </c>
      <c r="E13" s="105">
        <f>34.63+21.5</f>
        <v>56.13</v>
      </c>
      <c r="F13" s="105">
        <v>0.0</v>
      </c>
      <c r="G13" s="105">
        <v>0.0</v>
      </c>
      <c r="H13" s="105">
        <v>0.0</v>
      </c>
      <c r="I13" s="105">
        <v>0.0</v>
      </c>
      <c r="J13" s="105">
        <f t="shared" si="2"/>
        <v>56.13</v>
      </c>
      <c r="K13" s="105">
        <f t="shared" si="3"/>
        <v>56.13</v>
      </c>
      <c r="L13" s="105"/>
      <c r="M13" s="105"/>
      <c r="N13" s="105"/>
      <c r="O13" s="105"/>
      <c r="P13" s="105"/>
    </row>
    <row r="14">
      <c r="C14" s="2">
        <v>10.0</v>
      </c>
      <c r="D14" s="91">
        <v>44630.0</v>
      </c>
      <c r="E14" s="105">
        <f>11.65+44</f>
        <v>55.65</v>
      </c>
      <c r="F14" s="105">
        <v>0.0</v>
      </c>
      <c r="G14" s="105">
        <v>0.0</v>
      </c>
      <c r="H14" s="105">
        <v>0.0</v>
      </c>
      <c r="I14" s="105">
        <v>250.0</v>
      </c>
      <c r="J14" s="105">
        <f t="shared" si="2"/>
        <v>55.65</v>
      </c>
      <c r="K14" s="105">
        <f t="shared" si="3"/>
        <v>305.65</v>
      </c>
      <c r="L14" s="105"/>
      <c r="M14" s="105"/>
      <c r="N14" s="105"/>
      <c r="O14" s="105"/>
      <c r="P14" s="105"/>
    </row>
    <row r="15">
      <c r="C15" s="2">
        <v>11.0</v>
      </c>
      <c r="D15" s="91">
        <v>44631.0</v>
      </c>
      <c r="E15" s="105">
        <v>24.0</v>
      </c>
      <c r="F15" s="105">
        <v>10.0</v>
      </c>
      <c r="G15" s="105">
        <v>0.0</v>
      </c>
      <c r="H15" s="105">
        <v>0.0</v>
      </c>
      <c r="I15" s="105">
        <v>56.0</v>
      </c>
      <c r="J15" s="105">
        <f t="shared" si="2"/>
        <v>34</v>
      </c>
      <c r="K15" s="105">
        <f t="shared" si="3"/>
        <v>90</v>
      </c>
      <c r="L15" s="105"/>
      <c r="M15" s="105"/>
      <c r="N15" s="105"/>
      <c r="O15" s="105"/>
      <c r="P15" s="105"/>
    </row>
    <row r="16">
      <c r="C16" s="2">
        <v>12.0</v>
      </c>
      <c r="D16" s="91">
        <v>44632.0</v>
      </c>
      <c r="E16" s="105">
        <v>21.81</v>
      </c>
      <c r="F16" s="105">
        <v>0.0</v>
      </c>
      <c r="G16" s="105">
        <v>0.0</v>
      </c>
      <c r="H16" s="105">
        <v>0.0</v>
      </c>
      <c r="I16" s="105">
        <v>0.0</v>
      </c>
      <c r="J16" s="105">
        <f t="shared" si="2"/>
        <v>21.81</v>
      </c>
      <c r="K16" s="105">
        <f t="shared" si="3"/>
        <v>21.81</v>
      </c>
      <c r="L16" s="105"/>
      <c r="M16" s="105"/>
      <c r="N16" s="105"/>
      <c r="O16" s="105"/>
      <c r="P16" s="105"/>
    </row>
    <row r="17">
      <c r="C17" s="2">
        <v>13.0</v>
      </c>
      <c r="D17" s="91">
        <v>44633.0</v>
      </c>
      <c r="E17" s="105">
        <f>25.4+39.99+71.5</f>
        <v>136.89</v>
      </c>
      <c r="F17" s="105">
        <v>0.0</v>
      </c>
      <c r="G17" s="105">
        <v>0.0</v>
      </c>
      <c r="H17" s="105">
        <v>0.0</v>
      </c>
      <c r="I17" s="105">
        <v>6.0</v>
      </c>
      <c r="J17" s="105">
        <f t="shared" si="2"/>
        <v>136.89</v>
      </c>
      <c r="K17" s="105">
        <f t="shared" si="3"/>
        <v>142.89</v>
      </c>
      <c r="L17" s="105"/>
      <c r="M17" s="105"/>
      <c r="N17" s="105"/>
      <c r="O17" s="105"/>
      <c r="P17" s="105"/>
    </row>
    <row r="18">
      <c r="C18" s="2">
        <v>14.0</v>
      </c>
      <c r="D18" s="91">
        <v>44634.0</v>
      </c>
      <c r="E18" s="105">
        <v>30.9</v>
      </c>
      <c r="F18" s="105">
        <v>7.0</v>
      </c>
      <c r="G18" s="105">
        <v>0.0</v>
      </c>
      <c r="H18" s="105">
        <v>0.0</v>
      </c>
      <c r="I18" s="105">
        <v>0.0</v>
      </c>
      <c r="J18" s="105">
        <f t="shared" si="2"/>
        <v>37.9</v>
      </c>
      <c r="K18" s="105">
        <f t="shared" si="3"/>
        <v>37.9</v>
      </c>
      <c r="L18" s="105"/>
      <c r="M18" s="105"/>
      <c r="N18" s="105"/>
      <c r="O18" s="105"/>
      <c r="P18" s="105"/>
    </row>
    <row r="19">
      <c r="C19" s="2">
        <v>15.0</v>
      </c>
      <c r="D19" s="91">
        <v>44635.0</v>
      </c>
      <c r="E19" s="105">
        <f>39+115.33+95.97</f>
        <v>250.3</v>
      </c>
      <c r="F19" s="105">
        <v>7.0</v>
      </c>
      <c r="G19" s="105">
        <v>0.0</v>
      </c>
      <c r="H19" s="105">
        <v>0.0</v>
      </c>
      <c r="I19" s="105">
        <v>0.0</v>
      </c>
      <c r="J19" s="105">
        <f t="shared" si="2"/>
        <v>257.3</v>
      </c>
      <c r="K19" s="105">
        <f t="shared" si="3"/>
        <v>257.3</v>
      </c>
      <c r="L19" s="105"/>
      <c r="M19" s="105"/>
      <c r="N19" s="105"/>
      <c r="O19" s="105"/>
      <c r="P19" s="105"/>
    </row>
    <row r="20">
      <c r="C20" s="2">
        <v>16.0</v>
      </c>
      <c r="D20" s="91">
        <v>44636.0</v>
      </c>
      <c r="E20" s="105">
        <f>36.16+11.95+21.5</f>
        <v>69.61</v>
      </c>
      <c r="F20" s="105">
        <v>0.0</v>
      </c>
      <c r="G20" s="105">
        <v>0.0</v>
      </c>
      <c r="H20" s="105">
        <v>0.0</v>
      </c>
      <c r="I20" s="105">
        <v>0.0</v>
      </c>
      <c r="J20" s="105">
        <f t="shared" si="2"/>
        <v>69.61</v>
      </c>
      <c r="K20" s="105">
        <f t="shared" si="3"/>
        <v>69.61</v>
      </c>
      <c r="L20" s="105"/>
      <c r="M20" s="105"/>
      <c r="N20" s="105"/>
      <c r="O20" s="105"/>
      <c r="P20" s="105"/>
    </row>
    <row r="21" ht="15.75" customHeight="1">
      <c r="C21" s="2">
        <v>17.0</v>
      </c>
      <c r="D21" s="91">
        <v>44637.0</v>
      </c>
      <c r="E21" s="105">
        <v>9.25</v>
      </c>
      <c r="F21" s="105">
        <v>14.0</v>
      </c>
      <c r="G21" s="105">
        <v>0.0</v>
      </c>
      <c r="H21" s="105">
        <v>0.0</v>
      </c>
      <c r="I21" s="105">
        <v>0.0</v>
      </c>
      <c r="J21" s="105">
        <f t="shared" si="2"/>
        <v>23.25</v>
      </c>
      <c r="K21" s="105">
        <f t="shared" si="3"/>
        <v>23.25</v>
      </c>
      <c r="L21" s="105"/>
      <c r="M21" s="105"/>
      <c r="N21" s="105"/>
      <c r="O21" s="105"/>
      <c r="P21" s="105"/>
    </row>
    <row r="22" ht="15.75" customHeight="1">
      <c r="C22" s="2">
        <v>18.0</v>
      </c>
      <c r="D22" s="91">
        <v>44638.0</v>
      </c>
      <c r="E22" s="105">
        <v>39.0</v>
      </c>
      <c r="F22" s="105">
        <v>14.0</v>
      </c>
      <c r="G22" s="105">
        <v>0.0</v>
      </c>
      <c r="H22" s="105">
        <v>0.0</v>
      </c>
      <c r="I22" s="105">
        <v>0.0</v>
      </c>
      <c r="J22" s="105">
        <f t="shared" si="2"/>
        <v>53</v>
      </c>
      <c r="K22" s="105">
        <f t="shared" si="3"/>
        <v>53</v>
      </c>
      <c r="L22" s="105"/>
      <c r="M22" s="105"/>
      <c r="N22" s="105"/>
      <c r="O22" s="105"/>
      <c r="P22" s="105"/>
    </row>
    <row r="23" ht="15.75" customHeight="1">
      <c r="C23" s="2">
        <v>19.0</v>
      </c>
      <c r="D23" s="91">
        <v>44639.0</v>
      </c>
      <c r="E23" s="105">
        <v>28.0</v>
      </c>
      <c r="F23" s="105">
        <v>17.5</v>
      </c>
      <c r="G23" s="105">
        <v>0.0</v>
      </c>
      <c r="H23" s="105">
        <v>0.0</v>
      </c>
      <c r="I23" s="105">
        <v>0.0</v>
      </c>
      <c r="J23" s="105">
        <f t="shared" si="2"/>
        <v>45.5</v>
      </c>
      <c r="K23" s="105">
        <f t="shared" si="3"/>
        <v>45.5</v>
      </c>
      <c r="L23" s="105"/>
      <c r="M23" s="105"/>
      <c r="N23" s="105"/>
      <c r="O23" s="105"/>
      <c r="P23" s="105"/>
    </row>
    <row r="24" ht="15.75" customHeight="1">
      <c r="C24" s="2">
        <v>20.0</v>
      </c>
      <c r="D24" s="91">
        <v>44640.0</v>
      </c>
      <c r="E24" s="105">
        <v>48.25</v>
      </c>
      <c r="F24" s="105">
        <v>0.0</v>
      </c>
      <c r="G24" s="105">
        <v>0.0</v>
      </c>
      <c r="H24" s="105">
        <v>0.0</v>
      </c>
      <c r="I24" s="105">
        <v>0.0</v>
      </c>
      <c r="J24" s="105">
        <f t="shared" si="2"/>
        <v>48.25</v>
      </c>
      <c r="K24" s="105">
        <f t="shared" si="3"/>
        <v>48.25</v>
      </c>
      <c r="L24" s="105"/>
      <c r="M24" s="105"/>
      <c r="N24" s="105"/>
      <c r="O24" s="105"/>
      <c r="P24" s="105"/>
    </row>
    <row r="25" ht="15.75" customHeight="1">
      <c r="C25" s="2">
        <v>21.0</v>
      </c>
      <c r="D25" s="91">
        <v>44641.0</v>
      </c>
      <c r="E25" s="105">
        <v>0.0</v>
      </c>
      <c r="F25" s="105">
        <v>0.0</v>
      </c>
      <c r="G25" s="105">
        <v>0.0</v>
      </c>
      <c r="H25" s="105">
        <v>0.0</v>
      </c>
      <c r="I25" s="105">
        <f>23.1+59.13+16.28</f>
        <v>98.51</v>
      </c>
      <c r="J25" s="105">
        <f t="shared" si="2"/>
        <v>0</v>
      </c>
      <c r="K25" s="105">
        <f t="shared" si="3"/>
        <v>98.51</v>
      </c>
      <c r="L25" s="105"/>
      <c r="M25" s="105"/>
      <c r="N25" s="105"/>
      <c r="O25" s="105"/>
      <c r="P25" s="105"/>
    </row>
    <row r="26" ht="15.75" customHeight="1">
      <c r="C26" s="2">
        <v>22.0</v>
      </c>
      <c r="D26" s="91">
        <v>44642.0</v>
      </c>
      <c r="E26" s="105">
        <v>7.0</v>
      </c>
      <c r="F26" s="105">
        <v>14.0</v>
      </c>
      <c r="G26" s="105">
        <v>0.0</v>
      </c>
      <c r="H26" s="105">
        <v>0.0</v>
      </c>
      <c r="I26" s="105">
        <v>50.0</v>
      </c>
      <c r="J26" s="105">
        <f t="shared" si="2"/>
        <v>21</v>
      </c>
      <c r="K26" s="105">
        <f t="shared" si="3"/>
        <v>71</v>
      </c>
      <c r="L26" s="105"/>
      <c r="M26" s="105"/>
      <c r="N26" s="105"/>
      <c r="O26" s="105"/>
      <c r="P26" s="105"/>
    </row>
    <row r="27" ht="15.75" customHeight="1">
      <c r="C27" s="2">
        <v>23.0</v>
      </c>
      <c r="D27" s="91">
        <v>44643.0</v>
      </c>
      <c r="E27" s="105">
        <f>38.13+85.83+27.15</f>
        <v>151.11</v>
      </c>
      <c r="F27" s="105">
        <v>0.0</v>
      </c>
      <c r="G27" s="105">
        <v>0.0</v>
      </c>
      <c r="H27" s="105">
        <v>0.0</v>
      </c>
      <c r="I27" s="105">
        <v>53.73</v>
      </c>
      <c r="J27" s="105">
        <f t="shared" si="2"/>
        <v>151.11</v>
      </c>
      <c r="K27" s="105">
        <f t="shared" si="3"/>
        <v>204.84</v>
      </c>
      <c r="L27" s="105"/>
      <c r="M27" s="105"/>
      <c r="N27" s="105"/>
      <c r="O27" s="105"/>
      <c r="P27" s="105"/>
    </row>
    <row r="28" ht="15.75" customHeight="1">
      <c r="C28" s="2">
        <v>24.0</v>
      </c>
      <c r="D28" s="91">
        <v>44644.0</v>
      </c>
      <c r="E28" s="105">
        <v>28.65</v>
      </c>
      <c r="F28" s="105">
        <v>14.0</v>
      </c>
      <c r="G28" s="105">
        <v>0.0</v>
      </c>
      <c r="H28" s="105">
        <v>0.0</v>
      </c>
      <c r="I28" s="105">
        <v>0.0</v>
      </c>
      <c r="J28" s="105">
        <f t="shared" si="2"/>
        <v>42.65</v>
      </c>
      <c r="K28" s="105">
        <f t="shared" si="3"/>
        <v>42.65</v>
      </c>
      <c r="L28" s="105"/>
      <c r="M28" s="105"/>
      <c r="N28" s="105"/>
      <c r="O28" s="105"/>
      <c r="P28" s="105"/>
    </row>
    <row r="29" ht="15.75" customHeight="1">
      <c r="C29" s="2">
        <v>25.0</v>
      </c>
      <c r="D29" s="91">
        <v>44645.0</v>
      </c>
      <c r="E29" s="105">
        <v>38.0</v>
      </c>
      <c r="F29" s="105">
        <v>4.0</v>
      </c>
      <c r="G29" s="105">
        <v>0.0</v>
      </c>
      <c r="H29" s="105">
        <v>0.0</v>
      </c>
      <c r="I29" s="105">
        <v>350.0</v>
      </c>
      <c r="J29" s="105">
        <f t="shared" si="2"/>
        <v>42</v>
      </c>
      <c r="K29" s="105">
        <f t="shared" si="3"/>
        <v>392</v>
      </c>
      <c r="L29" s="105"/>
      <c r="M29" s="105"/>
      <c r="N29" s="105"/>
      <c r="O29" s="105"/>
      <c r="P29" s="105"/>
    </row>
    <row r="30" ht="15.75" customHeight="1">
      <c r="C30" s="2">
        <v>26.0</v>
      </c>
      <c r="D30" s="91">
        <v>44646.0</v>
      </c>
      <c r="E30" s="105">
        <f>29.1+35.68</f>
        <v>64.78</v>
      </c>
      <c r="F30" s="105">
        <v>0.0</v>
      </c>
      <c r="G30" s="105">
        <v>0.0</v>
      </c>
      <c r="H30" s="105">
        <v>0.0</v>
      </c>
      <c r="I30" s="105">
        <v>0.0</v>
      </c>
      <c r="J30" s="105">
        <f t="shared" si="2"/>
        <v>64.78</v>
      </c>
      <c r="K30" s="105">
        <f t="shared" si="3"/>
        <v>64.78</v>
      </c>
      <c r="L30" s="105"/>
      <c r="M30" s="105"/>
      <c r="N30" s="105"/>
      <c r="O30" s="105"/>
      <c r="P30" s="105"/>
    </row>
    <row r="31" ht="15.75" customHeight="1">
      <c r="C31" s="2">
        <v>27.0</v>
      </c>
      <c r="D31" s="91">
        <v>44647.0</v>
      </c>
      <c r="E31" s="105">
        <v>0.0</v>
      </c>
      <c r="F31" s="105">
        <v>0.0</v>
      </c>
      <c r="G31" s="105">
        <v>0.0</v>
      </c>
      <c r="H31" s="105">
        <v>0.0</v>
      </c>
      <c r="I31" s="105">
        <v>0.0</v>
      </c>
      <c r="J31" s="105">
        <f t="shared" si="2"/>
        <v>0</v>
      </c>
      <c r="K31" s="105">
        <f t="shared" si="3"/>
        <v>0</v>
      </c>
      <c r="L31" s="105"/>
      <c r="M31" s="105"/>
      <c r="N31" s="105"/>
      <c r="O31" s="105"/>
      <c r="P31" s="105"/>
    </row>
    <row r="32" ht="15.75" customHeight="1">
      <c r="C32" s="2">
        <v>28.0</v>
      </c>
      <c r="D32" s="91">
        <v>44648.0</v>
      </c>
      <c r="E32" s="105">
        <f>43+37</f>
        <v>80</v>
      </c>
      <c r="F32" s="105">
        <v>0.0</v>
      </c>
      <c r="G32" s="105">
        <v>0.0</v>
      </c>
      <c r="H32" s="105">
        <v>0.0</v>
      </c>
      <c r="I32" s="105">
        <v>0.0</v>
      </c>
      <c r="J32" s="105">
        <f t="shared" si="2"/>
        <v>80</v>
      </c>
      <c r="K32" s="105">
        <f t="shared" si="3"/>
        <v>80</v>
      </c>
      <c r="L32" s="105"/>
      <c r="M32" s="105"/>
      <c r="N32" s="105"/>
      <c r="O32" s="105"/>
      <c r="P32" s="105"/>
    </row>
    <row r="33" ht="15.75" customHeight="1">
      <c r="C33" s="2">
        <v>29.0</v>
      </c>
      <c r="D33" s="91">
        <v>44649.0</v>
      </c>
      <c r="E33" s="105">
        <f>29.35+152.5</f>
        <v>181.85</v>
      </c>
      <c r="F33" s="105">
        <v>14.0</v>
      </c>
      <c r="G33" s="105">
        <v>0.0</v>
      </c>
      <c r="H33" s="105">
        <v>0.0</v>
      </c>
      <c r="I33" s="105">
        <v>0.0</v>
      </c>
      <c r="J33" s="105">
        <f t="shared" si="2"/>
        <v>195.85</v>
      </c>
      <c r="K33" s="105">
        <f t="shared" si="3"/>
        <v>195.85</v>
      </c>
      <c r="L33" s="105"/>
      <c r="M33" s="105"/>
      <c r="N33" s="105"/>
      <c r="O33" s="105"/>
      <c r="P33" s="105"/>
    </row>
    <row r="34" ht="15.75" customHeight="1">
      <c r="C34" s="2">
        <v>30.0</v>
      </c>
      <c r="D34" s="91">
        <v>44650.0</v>
      </c>
      <c r="E34" s="105">
        <v>49.37</v>
      </c>
      <c r="F34" s="105">
        <v>7.0</v>
      </c>
      <c r="G34" s="105">
        <v>0.0</v>
      </c>
      <c r="H34" s="105">
        <v>0.0</v>
      </c>
      <c r="I34" s="105">
        <v>0.0</v>
      </c>
      <c r="J34" s="105">
        <f t="shared" si="2"/>
        <v>56.37</v>
      </c>
      <c r="K34" s="105">
        <f t="shared" si="3"/>
        <v>56.37</v>
      </c>
      <c r="L34" s="105"/>
      <c r="M34" s="105"/>
      <c r="N34" s="105"/>
      <c r="O34" s="105"/>
      <c r="P34" s="105"/>
    </row>
    <row r="35" ht="15.75" customHeight="1">
      <c r="C35" s="2">
        <v>31.0</v>
      </c>
      <c r="D35" s="91">
        <v>44651.0</v>
      </c>
      <c r="E35" s="105">
        <f>34.9+44.5</f>
        <v>79.4</v>
      </c>
      <c r="F35" s="105">
        <v>7.0</v>
      </c>
      <c r="G35" s="105">
        <v>0.0</v>
      </c>
      <c r="H35" s="105">
        <v>0.0</v>
      </c>
      <c r="I35" s="105">
        <v>6.0</v>
      </c>
      <c r="J35" s="105">
        <f t="shared" si="2"/>
        <v>86.4</v>
      </c>
      <c r="K35" s="105">
        <f t="shared" si="3"/>
        <v>92.4</v>
      </c>
      <c r="L35" s="105"/>
      <c r="M35" s="105"/>
      <c r="N35" s="105"/>
      <c r="O35" s="105"/>
      <c r="P35" s="105"/>
    </row>
    <row r="36" ht="15.75" customHeight="1">
      <c r="F36" s="10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E3:I3"/>
    <mergeCell ref="J3:J4"/>
    <mergeCell ref="K3:K4"/>
    <mergeCell ref="L3:L4"/>
    <mergeCell ref="M3:M4"/>
    <mergeCell ref="N3:N4"/>
    <mergeCell ref="O3:O4"/>
    <mergeCell ref="P3:P4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9.43"/>
    <col customWidth="1" min="4" max="4" width="7.43"/>
    <col customWidth="1" min="5" max="5" width="13.86"/>
    <col customWidth="1" min="6" max="6" width="6.43"/>
    <col customWidth="1" min="7" max="7" width="5.43"/>
    <col customWidth="1" min="8" max="8" width="7.43"/>
    <col customWidth="1" min="9" max="9" width="20.0"/>
    <col customWidth="1" min="10" max="10" width="10.0"/>
    <col customWidth="1" min="11" max="11" width="12.43"/>
    <col customWidth="1" min="12" max="26" width="8.86"/>
  </cols>
  <sheetData>
    <row r="1">
      <c r="D1" s="178" t="s">
        <v>95</v>
      </c>
      <c r="E1" s="179"/>
      <c r="F1" s="179"/>
      <c r="G1" s="179"/>
      <c r="H1" s="180"/>
      <c r="I1" s="181" t="s">
        <v>96</v>
      </c>
      <c r="J1" s="192" t="s">
        <v>67</v>
      </c>
      <c r="K1" s="183" t="s">
        <v>97</v>
      </c>
      <c r="L1" s="184" t="s">
        <v>98</v>
      </c>
      <c r="M1" s="183" t="s">
        <v>103</v>
      </c>
      <c r="N1" s="184" t="s">
        <v>101</v>
      </c>
    </row>
    <row r="2">
      <c r="C2" s="106" t="s">
        <v>60</v>
      </c>
      <c r="D2" s="189" t="s">
        <v>35</v>
      </c>
      <c r="E2" s="190" t="s">
        <v>37</v>
      </c>
      <c r="F2" s="190" t="s">
        <v>62</v>
      </c>
      <c r="G2" s="190" t="s">
        <v>40</v>
      </c>
      <c r="H2" s="190" t="s">
        <v>66</v>
      </c>
      <c r="I2" s="188"/>
      <c r="J2" s="191"/>
      <c r="K2" s="188"/>
      <c r="L2" s="188"/>
      <c r="M2" s="188"/>
      <c r="N2" s="188"/>
    </row>
    <row r="3">
      <c r="B3" s="2">
        <v>1.0</v>
      </c>
      <c r="C3" s="91">
        <v>44593.0</v>
      </c>
      <c r="D3" s="105">
        <v>0.0</v>
      </c>
      <c r="E3" s="105">
        <v>0.0</v>
      </c>
      <c r="F3" s="105">
        <v>0.0</v>
      </c>
      <c r="G3" s="105">
        <v>0.0</v>
      </c>
      <c r="H3" s="105">
        <v>0.0</v>
      </c>
      <c r="I3" s="105">
        <f t="shared" ref="I3:I30" si="3">+SUM(D3,E3)</f>
        <v>0</v>
      </c>
      <c r="J3" s="105">
        <f t="shared" ref="J3:J30" si="4">+SUM(D3:H3)</f>
        <v>0</v>
      </c>
      <c r="K3" s="113">
        <f t="shared" ref="K3:L3" si="1">+AVERAGE(I3:I33)</f>
        <v>66.6275</v>
      </c>
      <c r="L3" s="113">
        <f t="shared" si="1"/>
        <v>152.4185714</v>
      </c>
      <c r="M3" s="113">
        <f t="shared" ref="M3:N3" si="2">+SUM(I3:I33)</f>
        <v>1865.57</v>
      </c>
      <c r="N3" s="113">
        <f t="shared" si="2"/>
        <v>4267.72</v>
      </c>
    </row>
    <row r="4">
      <c r="B4" s="2">
        <v>2.0</v>
      </c>
      <c r="C4" s="91">
        <v>44594.0</v>
      </c>
      <c r="D4" s="105">
        <v>0.0</v>
      </c>
      <c r="E4" s="105">
        <v>0.0</v>
      </c>
      <c r="F4" s="105">
        <v>0.0</v>
      </c>
      <c r="G4" s="105">
        <v>0.0</v>
      </c>
      <c r="H4" s="105">
        <v>0.0</v>
      </c>
      <c r="I4" s="105">
        <f t="shared" si="3"/>
        <v>0</v>
      </c>
      <c r="J4" s="105">
        <f t="shared" si="4"/>
        <v>0</v>
      </c>
    </row>
    <row r="5">
      <c r="B5" s="2">
        <v>3.0</v>
      </c>
      <c r="C5" s="91">
        <v>44595.0</v>
      </c>
      <c r="D5" s="105">
        <f>25+17.5</f>
        <v>42.5</v>
      </c>
      <c r="E5" s="105">
        <v>0.0</v>
      </c>
      <c r="F5" s="105">
        <v>0.0</v>
      </c>
      <c r="G5" s="105">
        <v>0.0</v>
      </c>
      <c r="H5" s="105">
        <v>0.0</v>
      </c>
      <c r="I5" s="105">
        <f t="shared" si="3"/>
        <v>42.5</v>
      </c>
      <c r="J5" s="105">
        <f t="shared" si="4"/>
        <v>42.5</v>
      </c>
    </row>
    <row r="6">
      <c r="B6" s="2">
        <v>4.0</v>
      </c>
      <c r="C6" s="91">
        <v>44596.0</v>
      </c>
      <c r="D6" s="105">
        <f>35+37.65</f>
        <v>72.65</v>
      </c>
      <c r="E6" s="105">
        <v>0.0</v>
      </c>
      <c r="F6" s="105">
        <v>0.0</v>
      </c>
      <c r="G6" s="105">
        <v>39.25</v>
      </c>
      <c r="H6" s="105">
        <v>0.0</v>
      </c>
      <c r="I6" s="105">
        <f t="shared" si="3"/>
        <v>72.65</v>
      </c>
      <c r="J6" s="105">
        <f t="shared" si="4"/>
        <v>111.9</v>
      </c>
    </row>
    <row r="7">
      <c r="B7" s="2">
        <v>5.0</v>
      </c>
      <c r="C7" s="91">
        <v>44597.0</v>
      </c>
      <c r="D7" s="105">
        <f>150+27+23</f>
        <v>200</v>
      </c>
      <c r="E7" s="105">
        <v>0.0</v>
      </c>
      <c r="F7" s="105">
        <v>0.0</v>
      </c>
      <c r="G7" s="105">
        <v>0.0</v>
      </c>
      <c r="H7" s="105">
        <v>0.0</v>
      </c>
      <c r="I7" s="105">
        <f t="shared" si="3"/>
        <v>200</v>
      </c>
      <c r="J7" s="105">
        <f t="shared" si="4"/>
        <v>200</v>
      </c>
    </row>
    <row r="8">
      <c r="B8" s="2">
        <v>6.0</v>
      </c>
      <c r="C8" s="91">
        <v>44598.0</v>
      </c>
      <c r="D8" s="105">
        <f>15.5+52.78+65</f>
        <v>133.28</v>
      </c>
      <c r="E8" s="105">
        <v>0.0</v>
      </c>
      <c r="F8" s="105">
        <v>0.0</v>
      </c>
      <c r="G8" s="105">
        <v>0.0</v>
      </c>
      <c r="H8" s="105">
        <f>130.25+120+84.9</f>
        <v>335.15</v>
      </c>
      <c r="I8" s="105">
        <f t="shared" si="3"/>
        <v>133.28</v>
      </c>
      <c r="J8" s="105">
        <f t="shared" si="4"/>
        <v>468.43</v>
      </c>
    </row>
    <row r="9">
      <c r="B9" s="2">
        <v>7.0</v>
      </c>
      <c r="C9" s="91">
        <v>44599.0</v>
      </c>
      <c r="D9" s="105">
        <v>19.67</v>
      </c>
      <c r="E9" s="105">
        <v>0.0</v>
      </c>
      <c r="F9" s="105">
        <v>0.0</v>
      </c>
      <c r="G9" s="105">
        <v>0.0</v>
      </c>
      <c r="H9" s="105">
        <v>0.0</v>
      </c>
      <c r="I9" s="105">
        <f t="shared" si="3"/>
        <v>19.67</v>
      </c>
      <c r="J9" s="105">
        <f t="shared" si="4"/>
        <v>19.67</v>
      </c>
    </row>
    <row r="10">
      <c r="B10" s="2">
        <v>8.0</v>
      </c>
      <c r="C10" s="91">
        <v>44600.0</v>
      </c>
      <c r="D10" s="105">
        <v>41.0</v>
      </c>
      <c r="E10" s="105">
        <v>0.0</v>
      </c>
      <c r="F10" s="105">
        <v>0.0</v>
      </c>
      <c r="G10" s="105">
        <v>0.0</v>
      </c>
      <c r="H10" s="105">
        <f>91.75+215</f>
        <v>306.75</v>
      </c>
      <c r="I10" s="105">
        <f t="shared" si="3"/>
        <v>41</v>
      </c>
      <c r="J10" s="105">
        <f t="shared" si="4"/>
        <v>347.75</v>
      </c>
    </row>
    <row r="11">
      <c r="B11" s="2">
        <v>9.0</v>
      </c>
      <c r="C11" s="91">
        <v>44601.0</v>
      </c>
      <c r="D11" s="105">
        <v>3.03</v>
      </c>
      <c r="E11" s="105">
        <v>0.0</v>
      </c>
      <c r="F11" s="105">
        <v>0.0</v>
      </c>
      <c r="G11" s="105">
        <v>0.0</v>
      </c>
      <c r="H11" s="105">
        <v>150.0</v>
      </c>
      <c r="I11" s="105">
        <f t="shared" si="3"/>
        <v>3.03</v>
      </c>
      <c r="J11" s="105">
        <f t="shared" si="4"/>
        <v>153.03</v>
      </c>
    </row>
    <row r="12">
      <c r="B12" s="2">
        <v>10.0</v>
      </c>
      <c r="C12" s="91">
        <v>44602.0</v>
      </c>
      <c r="D12" s="105">
        <f>26+14.5</f>
        <v>40.5</v>
      </c>
      <c r="E12" s="105">
        <v>0.0</v>
      </c>
      <c r="F12" s="105">
        <v>0.0</v>
      </c>
      <c r="G12" s="105">
        <v>0.0</v>
      </c>
      <c r="H12" s="105">
        <v>0.0</v>
      </c>
      <c r="I12" s="105">
        <f t="shared" si="3"/>
        <v>40.5</v>
      </c>
      <c r="J12" s="105">
        <f t="shared" si="4"/>
        <v>40.5</v>
      </c>
    </row>
    <row r="13">
      <c r="B13" s="2">
        <v>11.0</v>
      </c>
      <c r="C13" s="91">
        <v>44603.0</v>
      </c>
      <c r="D13" s="105">
        <v>11.5</v>
      </c>
      <c r="E13" s="105">
        <v>30.0</v>
      </c>
      <c r="F13" s="105">
        <v>0.0</v>
      </c>
      <c r="G13" s="105">
        <v>0.0</v>
      </c>
      <c r="H13" s="105">
        <v>0.0</v>
      </c>
      <c r="I13" s="105">
        <f t="shared" si="3"/>
        <v>41.5</v>
      </c>
      <c r="J13" s="105">
        <f t="shared" si="4"/>
        <v>41.5</v>
      </c>
    </row>
    <row r="14">
      <c r="B14" s="2">
        <v>12.0</v>
      </c>
      <c r="C14" s="91">
        <v>44604.0</v>
      </c>
      <c r="D14" s="105">
        <f>23.4+45.95</f>
        <v>69.35</v>
      </c>
      <c r="E14" s="105">
        <v>0.0</v>
      </c>
      <c r="F14" s="105">
        <v>0.0</v>
      </c>
      <c r="G14" s="105">
        <v>0.0</v>
      </c>
      <c r="H14" s="105">
        <v>0.0</v>
      </c>
      <c r="I14" s="105">
        <f t="shared" si="3"/>
        <v>69.35</v>
      </c>
      <c r="J14" s="105">
        <f t="shared" si="4"/>
        <v>69.35</v>
      </c>
    </row>
    <row r="15">
      <c r="B15" s="2">
        <v>13.0</v>
      </c>
      <c r="C15" s="91">
        <v>44605.0</v>
      </c>
      <c r="D15" s="105">
        <f>15+54.45</f>
        <v>69.45</v>
      </c>
      <c r="E15" s="105">
        <v>9.5</v>
      </c>
      <c r="F15" s="105">
        <v>0.0</v>
      </c>
      <c r="G15" s="105">
        <v>0.0</v>
      </c>
      <c r="H15" s="105">
        <v>0.0</v>
      </c>
      <c r="I15" s="105">
        <f t="shared" si="3"/>
        <v>78.95</v>
      </c>
      <c r="J15" s="105">
        <f t="shared" si="4"/>
        <v>78.95</v>
      </c>
    </row>
    <row r="16">
      <c r="B16" s="2">
        <v>14.0</v>
      </c>
      <c r="C16" s="91">
        <v>44606.0</v>
      </c>
      <c r="D16" s="105">
        <v>3.97</v>
      </c>
      <c r="E16" s="105">
        <v>4.75</v>
      </c>
      <c r="F16" s="105">
        <v>0.0</v>
      </c>
      <c r="G16" s="105">
        <v>0.0</v>
      </c>
      <c r="H16" s="105">
        <v>121.0</v>
      </c>
      <c r="I16" s="105">
        <f t="shared" si="3"/>
        <v>8.72</v>
      </c>
      <c r="J16" s="105">
        <f t="shared" si="4"/>
        <v>129.72</v>
      </c>
    </row>
    <row r="17">
      <c r="B17" s="2">
        <v>15.0</v>
      </c>
      <c r="C17" s="91">
        <v>44607.0</v>
      </c>
      <c r="D17" s="105">
        <v>10.12</v>
      </c>
      <c r="E17" s="105">
        <v>154.75</v>
      </c>
      <c r="F17" s="105">
        <v>0.0</v>
      </c>
      <c r="G17" s="105">
        <v>0.0</v>
      </c>
      <c r="H17" s="105">
        <v>0.0</v>
      </c>
      <c r="I17" s="105">
        <f t="shared" si="3"/>
        <v>164.87</v>
      </c>
      <c r="J17" s="105">
        <f t="shared" si="4"/>
        <v>164.87</v>
      </c>
    </row>
    <row r="18">
      <c r="B18" s="2">
        <v>16.0</v>
      </c>
      <c r="C18" s="91">
        <v>44608.0</v>
      </c>
      <c r="D18" s="105">
        <v>0.0</v>
      </c>
      <c r="E18" s="105">
        <v>0.0</v>
      </c>
      <c r="F18" s="105">
        <v>0.0</v>
      </c>
      <c r="G18" s="105">
        <v>0.0</v>
      </c>
      <c r="H18" s="105">
        <v>0.0</v>
      </c>
      <c r="I18" s="105">
        <f t="shared" si="3"/>
        <v>0</v>
      </c>
      <c r="J18" s="105">
        <f t="shared" si="4"/>
        <v>0</v>
      </c>
    </row>
    <row r="19">
      <c r="B19" s="2">
        <v>17.0</v>
      </c>
      <c r="C19" s="91">
        <v>44609.0</v>
      </c>
      <c r="D19" s="105">
        <v>0.0</v>
      </c>
      <c r="E19" s="105">
        <v>0.0</v>
      </c>
      <c r="F19" s="105">
        <v>0.0</v>
      </c>
      <c r="G19" s="105">
        <v>0.0</v>
      </c>
      <c r="H19" s="105">
        <v>0.0</v>
      </c>
      <c r="I19" s="105">
        <f t="shared" si="3"/>
        <v>0</v>
      </c>
      <c r="J19" s="105">
        <f t="shared" si="4"/>
        <v>0</v>
      </c>
    </row>
    <row r="20">
      <c r="B20" s="2">
        <v>18.0</v>
      </c>
      <c r="C20" s="91">
        <v>44610.0</v>
      </c>
      <c r="D20" s="105">
        <v>41.5</v>
      </c>
      <c r="E20" s="105">
        <v>0.0</v>
      </c>
      <c r="F20" s="105">
        <v>0.0</v>
      </c>
      <c r="G20" s="105">
        <v>0.0</v>
      </c>
      <c r="H20" s="105">
        <v>0.0</v>
      </c>
      <c r="I20" s="105">
        <f t="shared" si="3"/>
        <v>41.5</v>
      </c>
      <c r="J20" s="105">
        <f t="shared" si="4"/>
        <v>41.5</v>
      </c>
    </row>
    <row r="21" ht="15.75" customHeight="1">
      <c r="B21" s="2">
        <v>19.0</v>
      </c>
      <c r="C21" s="91">
        <v>44611.0</v>
      </c>
      <c r="D21" s="105">
        <v>56.5</v>
      </c>
      <c r="E21" s="105">
        <v>0.0</v>
      </c>
      <c r="F21" s="105">
        <v>0.0</v>
      </c>
      <c r="G21" s="105">
        <v>0.0</v>
      </c>
      <c r="H21" s="105">
        <v>0.0</v>
      </c>
      <c r="I21" s="105">
        <f t="shared" si="3"/>
        <v>56.5</v>
      </c>
      <c r="J21" s="105">
        <f t="shared" si="4"/>
        <v>56.5</v>
      </c>
    </row>
    <row r="22" ht="15.75" customHeight="1">
      <c r="B22" s="2">
        <v>20.0</v>
      </c>
      <c r="C22" s="91">
        <v>44612.0</v>
      </c>
      <c r="D22" s="105">
        <v>0.0</v>
      </c>
      <c r="E22" s="105">
        <v>0.0</v>
      </c>
      <c r="F22" s="105">
        <v>0.0</v>
      </c>
      <c r="G22" s="105">
        <v>0.0</v>
      </c>
      <c r="H22" s="105">
        <v>0.0</v>
      </c>
      <c r="I22" s="105">
        <f t="shared" si="3"/>
        <v>0</v>
      </c>
      <c r="J22" s="105">
        <f t="shared" si="4"/>
        <v>0</v>
      </c>
    </row>
    <row r="23" ht="15.75" customHeight="1">
      <c r="B23" s="2">
        <v>21.0</v>
      </c>
      <c r="C23" s="91">
        <v>44613.0</v>
      </c>
      <c r="D23" s="105">
        <f>18.5+23.33</f>
        <v>41.83</v>
      </c>
      <c r="E23" s="105">
        <v>0.0</v>
      </c>
      <c r="F23" s="105">
        <v>0.0</v>
      </c>
      <c r="G23" s="105">
        <v>0.0</v>
      </c>
      <c r="H23" s="105">
        <v>0.0</v>
      </c>
      <c r="I23" s="105">
        <f t="shared" si="3"/>
        <v>41.83</v>
      </c>
      <c r="J23" s="105">
        <f t="shared" si="4"/>
        <v>41.83</v>
      </c>
    </row>
    <row r="24" ht="15.75" customHeight="1">
      <c r="B24" s="2">
        <v>22.0</v>
      </c>
      <c r="C24" s="91">
        <v>44614.0</v>
      </c>
      <c r="D24" s="105">
        <f>40+34.5</f>
        <v>74.5</v>
      </c>
      <c r="E24" s="105">
        <v>101.0</v>
      </c>
      <c r="F24" s="105">
        <v>0.0</v>
      </c>
      <c r="G24" s="105">
        <v>0.0</v>
      </c>
      <c r="H24" s="105">
        <v>0.0</v>
      </c>
      <c r="I24" s="105">
        <f t="shared" si="3"/>
        <v>175.5</v>
      </c>
      <c r="J24" s="105">
        <f t="shared" si="4"/>
        <v>175.5</v>
      </c>
    </row>
    <row r="25" ht="15.75" customHeight="1">
      <c r="B25" s="2">
        <v>23.0</v>
      </c>
      <c r="C25" s="91">
        <v>44615.0</v>
      </c>
      <c r="D25" s="105">
        <v>25.0</v>
      </c>
      <c r="E25" s="105">
        <v>101.0</v>
      </c>
      <c r="F25" s="105">
        <v>0.0</v>
      </c>
      <c r="G25" s="105">
        <v>0.0</v>
      </c>
      <c r="H25" s="105">
        <v>0.0</v>
      </c>
      <c r="I25" s="105">
        <f t="shared" si="3"/>
        <v>126</v>
      </c>
      <c r="J25" s="105">
        <f t="shared" si="4"/>
        <v>126</v>
      </c>
    </row>
    <row r="26" ht="15.75" customHeight="1">
      <c r="B26" s="2">
        <v>24.0</v>
      </c>
      <c r="C26" s="91">
        <v>44616.0</v>
      </c>
      <c r="D26" s="105">
        <v>0.0</v>
      </c>
      <c r="E26" s="105">
        <v>32.0</v>
      </c>
      <c r="F26" s="105">
        <v>0.0</v>
      </c>
      <c r="G26" s="105">
        <v>0.0</v>
      </c>
      <c r="H26" s="105">
        <v>0.0</v>
      </c>
      <c r="I26" s="105">
        <f t="shared" si="3"/>
        <v>32</v>
      </c>
      <c r="J26" s="105">
        <f t="shared" si="4"/>
        <v>32</v>
      </c>
    </row>
    <row r="27" ht="15.75" customHeight="1">
      <c r="B27" s="2">
        <v>25.0</v>
      </c>
      <c r="C27" s="91">
        <v>44617.0</v>
      </c>
      <c r="D27" s="105">
        <v>52.5</v>
      </c>
      <c r="E27" s="105">
        <v>0.0</v>
      </c>
      <c r="F27" s="105">
        <v>0.0</v>
      </c>
      <c r="G27" s="105">
        <v>0.0</v>
      </c>
      <c r="H27" s="105">
        <v>0.0</v>
      </c>
      <c r="I27" s="105">
        <f t="shared" si="3"/>
        <v>52.5</v>
      </c>
      <c r="J27" s="105">
        <f t="shared" si="4"/>
        <v>52.5</v>
      </c>
    </row>
    <row r="28" ht="15.75" customHeight="1">
      <c r="B28" s="2">
        <v>26.0</v>
      </c>
      <c r="C28" s="91">
        <v>44618.0</v>
      </c>
      <c r="D28" s="105">
        <f>94+41.5+59.9</f>
        <v>195.4</v>
      </c>
      <c r="E28" s="105">
        <v>0.0</v>
      </c>
      <c r="F28" s="105">
        <v>0.0</v>
      </c>
      <c r="G28" s="105">
        <v>0.0</v>
      </c>
      <c r="H28" s="105">
        <v>1100.0</v>
      </c>
      <c r="I28" s="105">
        <f t="shared" si="3"/>
        <v>195.4</v>
      </c>
      <c r="J28" s="105">
        <f t="shared" si="4"/>
        <v>1295.4</v>
      </c>
    </row>
    <row r="29" ht="15.75" customHeight="1">
      <c r="B29" s="2">
        <v>27.0</v>
      </c>
      <c r="C29" s="91">
        <v>44619.0</v>
      </c>
      <c r="D29" s="105">
        <f>47+59.9+101.42</f>
        <v>208.32</v>
      </c>
      <c r="E29" s="105">
        <v>0.0</v>
      </c>
      <c r="F29" s="105">
        <v>0.0</v>
      </c>
      <c r="G29" s="105">
        <v>0.0</v>
      </c>
      <c r="H29" s="105">
        <v>0.0</v>
      </c>
      <c r="I29" s="105">
        <f t="shared" si="3"/>
        <v>208.32</v>
      </c>
      <c r="J29" s="105">
        <f t="shared" si="4"/>
        <v>208.32</v>
      </c>
    </row>
    <row r="30" ht="15.75" customHeight="1">
      <c r="B30" s="2">
        <v>28.0</v>
      </c>
      <c r="C30" s="91">
        <v>44620.0</v>
      </c>
      <c r="D30" s="105">
        <v>0.0</v>
      </c>
      <c r="E30" s="105">
        <v>20.0</v>
      </c>
      <c r="F30" s="105">
        <v>350.0</v>
      </c>
      <c r="G30" s="105">
        <v>0.0</v>
      </c>
      <c r="H30" s="105">
        <v>0.0</v>
      </c>
      <c r="I30" s="105">
        <f t="shared" si="3"/>
        <v>20</v>
      </c>
      <c r="J30" s="105">
        <f t="shared" si="4"/>
        <v>370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1:H1"/>
    <mergeCell ref="I1:I2"/>
    <mergeCell ref="J1:J2"/>
    <mergeCell ref="K1:K2"/>
    <mergeCell ref="L1:L2"/>
    <mergeCell ref="M1:M2"/>
    <mergeCell ref="N1:N2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43"/>
    <col customWidth="1" min="3" max="3" width="7.0"/>
    <col customWidth="1" min="4" max="4" width="13.14"/>
    <col customWidth="1" min="5" max="6" width="6.43"/>
    <col customWidth="1" min="7" max="7" width="5.71"/>
    <col customWidth="1" min="8" max="8" width="19.0"/>
    <col customWidth="1" min="9" max="9" width="8.86"/>
    <col customWidth="1" min="10" max="10" width="12.71"/>
    <col customWidth="1" min="11" max="26" width="8.86"/>
  </cols>
  <sheetData>
    <row r="1">
      <c r="C1" s="178" t="s">
        <v>95</v>
      </c>
      <c r="D1" s="179"/>
      <c r="E1" s="179"/>
      <c r="F1" s="179"/>
      <c r="G1" s="180"/>
      <c r="H1" s="181" t="s">
        <v>96</v>
      </c>
      <c r="I1" s="192" t="s">
        <v>67</v>
      </c>
      <c r="J1" s="183" t="s">
        <v>97</v>
      </c>
      <c r="K1" s="184" t="s">
        <v>98</v>
      </c>
      <c r="L1" s="183" t="s">
        <v>103</v>
      </c>
      <c r="M1" s="184" t="s">
        <v>101</v>
      </c>
    </row>
    <row r="2">
      <c r="B2" s="106" t="s">
        <v>60</v>
      </c>
      <c r="C2" s="189" t="s">
        <v>35</v>
      </c>
      <c r="D2" s="190" t="s">
        <v>37</v>
      </c>
      <c r="E2" s="190" t="s">
        <v>62</v>
      </c>
      <c r="F2" s="190" t="s">
        <v>40</v>
      </c>
      <c r="G2" s="190" t="s">
        <v>66</v>
      </c>
      <c r="H2" s="188"/>
      <c r="I2" s="191"/>
      <c r="J2" s="188"/>
      <c r="K2" s="188"/>
      <c r="L2" s="188"/>
      <c r="M2" s="188"/>
    </row>
    <row r="3">
      <c r="A3" s="2">
        <v>1.0</v>
      </c>
      <c r="B3" s="91">
        <v>44562.0</v>
      </c>
      <c r="C3" s="105">
        <v>0.0</v>
      </c>
      <c r="D3" s="105">
        <v>0.0</v>
      </c>
      <c r="E3" s="105">
        <v>0.0</v>
      </c>
      <c r="F3" s="105">
        <v>0.0</v>
      </c>
      <c r="G3" s="105">
        <v>0.0</v>
      </c>
      <c r="H3" s="105">
        <f t="shared" ref="H3:H33" si="3">+SUM(C3,D3)</f>
        <v>0</v>
      </c>
      <c r="I3" s="105">
        <f t="shared" ref="I3:I33" si="4">+SUM(C3:G3)</f>
        <v>0</v>
      </c>
      <c r="J3" s="113">
        <f t="shared" ref="J3:K3" si="1">+AVERAGE(H3:H33)</f>
        <v>51.66193548</v>
      </c>
      <c r="K3" s="113">
        <f t="shared" si="1"/>
        <v>81.94419355</v>
      </c>
      <c r="L3" s="113">
        <f t="shared" ref="L3:M3" si="2">+SUM(H3:H33)</f>
        <v>1601.52</v>
      </c>
      <c r="M3" s="113">
        <f t="shared" si="2"/>
        <v>2540.27</v>
      </c>
    </row>
    <row r="4">
      <c r="A4" s="2">
        <v>2.0</v>
      </c>
      <c r="B4" s="91">
        <v>44563.0</v>
      </c>
      <c r="C4" s="105">
        <v>0.0</v>
      </c>
      <c r="D4" s="105">
        <v>0.0</v>
      </c>
      <c r="E4" s="105">
        <v>0.0</v>
      </c>
      <c r="F4" s="105">
        <v>0.0</v>
      </c>
      <c r="G4" s="105">
        <v>15.0</v>
      </c>
      <c r="H4" s="105">
        <f t="shared" si="3"/>
        <v>0</v>
      </c>
      <c r="I4" s="105">
        <f t="shared" si="4"/>
        <v>15</v>
      </c>
    </row>
    <row r="5">
      <c r="A5" s="2">
        <v>3.0</v>
      </c>
      <c r="B5" s="91">
        <v>44564.0</v>
      </c>
      <c r="C5" s="105">
        <f>32.75+1.67</f>
        <v>34.42</v>
      </c>
      <c r="D5" s="105">
        <v>0.0</v>
      </c>
      <c r="E5" s="105">
        <v>0.0</v>
      </c>
      <c r="F5" s="105">
        <v>0.0</v>
      </c>
      <c r="G5" s="105">
        <v>0.0</v>
      </c>
      <c r="H5" s="105">
        <f t="shared" si="3"/>
        <v>34.42</v>
      </c>
      <c r="I5" s="105">
        <f t="shared" si="4"/>
        <v>34.42</v>
      </c>
    </row>
    <row r="6">
      <c r="A6" s="2">
        <v>4.0</v>
      </c>
      <c r="B6" s="91">
        <v>44565.0</v>
      </c>
      <c r="C6" s="105">
        <f>2.95+36.8+3.5</f>
        <v>43.25</v>
      </c>
      <c r="D6" s="105">
        <v>5.0</v>
      </c>
      <c r="E6" s="105">
        <v>0.0</v>
      </c>
      <c r="F6" s="105">
        <v>0.0</v>
      </c>
      <c r="G6" s="105">
        <v>1.5</v>
      </c>
      <c r="H6" s="105">
        <f t="shared" si="3"/>
        <v>48.25</v>
      </c>
      <c r="I6" s="105">
        <f t="shared" si="4"/>
        <v>49.75</v>
      </c>
    </row>
    <row r="7">
      <c r="A7" s="2">
        <v>5.0</v>
      </c>
      <c r="B7" s="91">
        <v>44566.0</v>
      </c>
      <c r="C7" s="105">
        <f>29.9+2.95+17.75</f>
        <v>50.6</v>
      </c>
      <c r="D7" s="105">
        <v>10.0</v>
      </c>
      <c r="E7" s="105">
        <v>0.0</v>
      </c>
      <c r="F7" s="105">
        <v>0.0</v>
      </c>
      <c r="G7" s="105">
        <f>1.5+7.9</f>
        <v>9.4</v>
      </c>
      <c r="H7" s="105">
        <f t="shared" si="3"/>
        <v>60.6</v>
      </c>
      <c r="I7" s="105">
        <f t="shared" si="4"/>
        <v>70</v>
      </c>
    </row>
    <row r="8">
      <c r="A8" s="2">
        <v>6.0</v>
      </c>
      <c r="B8" s="91">
        <v>44567.0</v>
      </c>
      <c r="C8" s="105">
        <f>18+39</f>
        <v>57</v>
      </c>
      <c r="D8" s="105">
        <v>0.0</v>
      </c>
      <c r="E8" s="105">
        <v>0.0</v>
      </c>
      <c r="F8" s="105">
        <v>0.0</v>
      </c>
      <c r="G8" s="105">
        <v>0.0</v>
      </c>
      <c r="H8" s="105">
        <f t="shared" si="3"/>
        <v>57</v>
      </c>
      <c r="I8" s="105">
        <f t="shared" si="4"/>
        <v>57</v>
      </c>
    </row>
    <row r="9">
      <c r="A9" s="2">
        <v>7.0</v>
      </c>
      <c r="B9" s="91">
        <v>44568.0</v>
      </c>
      <c r="C9" s="105">
        <v>0.0</v>
      </c>
      <c r="D9" s="105">
        <v>0.0</v>
      </c>
      <c r="E9" s="105">
        <v>0.0</v>
      </c>
      <c r="F9" s="105">
        <v>36.75</v>
      </c>
      <c r="G9" s="105">
        <v>0.0</v>
      </c>
      <c r="H9" s="105">
        <f t="shared" si="3"/>
        <v>0</v>
      </c>
      <c r="I9" s="105">
        <f t="shared" si="4"/>
        <v>36.75</v>
      </c>
    </row>
    <row r="10">
      <c r="A10" s="2">
        <v>8.0</v>
      </c>
      <c r="B10" s="91">
        <v>44569.0</v>
      </c>
      <c r="C10" s="105">
        <f>27.92+65.85</f>
        <v>93.77</v>
      </c>
      <c r="D10" s="105">
        <v>0.0</v>
      </c>
      <c r="E10" s="105">
        <v>0.0</v>
      </c>
      <c r="F10" s="105">
        <v>0.0</v>
      </c>
      <c r="G10" s="105">
        <v>0.0</v>
      </c>
      <c r="H10" s="105">
        <f t="shared" si="3"/>
        <v>93.77</v>
      </c>
      <c r="I10" s="105">
        <f t="shared" si="4"/>
        <v>93.77</v>
      </c>
    </row>
    <row r="11">
      <c r="A11" s="2">
        <v>9.0</v>
      </c>
      <c r="B11" s="91">
        <v>44570.0</v>
      </c>
      <c r="C11" s="105">
        <v>32.15</v>
      </c>
      <c r="D11" s="105">
        <v>0.0</v>
      </c>
      <c r="E11" s="105">
        <v>0.0</v>
      </c>
      <c r="F11" s="105">
        <v>41.1</v>
      </c>
      <c r="G11" s="105">
        <v>0.0</v>
      </c>
      <c r="H11" s="105">
        <f t="shared" si="3"/>
        <v>32.15</v>
      </c>
      <c r="I11" s="105">
        <f t="shared" si="4"/>
        <v>73.25</v>
      </c>
    </row>
    <row r="12">
      <c r="A12" s="2">
        <v>10.0</v>
      </c>
      <c r="B12" s="91">
        <v>44571.0</v>
      </c>
      <c r="C12" s="105">
        <v>17.75</v>
      </c>
      <c r="D12" s="105">
        <v>0.0</v>
      </c>
      <c r="E12" s="105">
        <v>0.0</v>
      </c>
      <c r="F12" s="105">
        <v>0.0</v>
      </c>
      <c r="G12" s="105">
        <v>0.0</v>
      </c>
      <c r="H12" s="105">
        <f t="shared" si="3"/>
        <v>17.75</v>
      </c>
      <c r="I12" s="105">
        <f t="shared" si="4"/>
        <v>17.75</v>
      </c>
    </row>
    <row r="13">
      <c r="A13" s="2">
        <v>11.0</v>
      </c>
      <c r="B13" s="91">
        <v>44572.0</v>
      </c>
      <c r="C13" s="105">
        <v>28.5</v>
      </c>
      <c r="D13" s="105">
        <v>0.0</v>
      </c>
      <c r="E13" s="105">
        <v>0.0</v>
      </c>
      <c r="F13" s="105">
        <v>0.0</v>
      </c>
      <c r="G13" s="105">
        <v>0.0</v>
      </c>
      <c r="H13" s="105">
        <f t="shared" si="3"/>
        <v>28.5</v>
      </c>
      <c r="I13" s="105">
        <f t="shared" si="4"/>
        <v>28.5</v>
      </c>
    </row>
    <row r="14">
      <c r="A14" s="2">
        <v>12.0</v>
      </c>
      <c r="B14" s="91">
        <v>44573.0</v>
      </c>
      <c r="C14" s="105">
        <f>31.05+36.8+75.97+1.5+2.95</f>
        <v>148.27</v>
      </c>
      <c r="D14" s="105">
        <v>10.0</v>
      </c>
      <c r="E14" s="105">
        <v>0.0</v>
      </c>
      <c r="F14" s="105">
        <v>0.0</v>
      </c>
      <c r="G14" s="105">
        <v>0.0</v>
      </c>
      <c r="H14" s="105">
        <f t="shared" si="3"/>
        <v>158.27</v>
      </c>
      <c r="I14" s="105">
        <f t="shared" si="4"/>
        <v>158.27</v>
      </c>
    </row>
    <row r="15">
      <c r="A15" s="2">
        <v>13.0</v>
      </c>
      <c r="B15" s="91">
        <v>44574.0</v>
      </c>
      <c r="C15" s="105">
        <v>18.0</v>
      </c>
      <c r="D15" s="105">
        <v>0.0</v>
      </c>
      <c r="E15" s="105">
        <v>0.0</v>
      </c>
      <c r="F15" s="105">
        <v>0.0</v>
      </c>
      <c r="G15" s="105">
        <v>0.0</v>
      </c>
      <c r="H15" s="105">
        <f t="shared" si="3"/>
        <v>18</v>
      </c>
      <c r="I15" s="105">
        <f t="shared" si="4"/>
        <v>18</v>
      </c>
    </row>
    <row r="16">
      <c r="A16" s="2">
        <v>14.0</v>
      </c>
      <c r="B16" s="91">
        <v>44575.0</v>
      </c>
      <c r="C16" s="105">
        <f>13+35+43.27</f>
        <v>91.27</v>
      </c>
      <c r="D16" s="105">
        <v>0.0</v>
      </c>
      <c r="E16" s="105">
        <v>0.0</v>
      </c>
      <c r="F16" s="105">
        <v>0.0</v>
      </c>
      <c r="G16" s="105">
        <v>0.0</v>
      </c>
      <c r="H16" s="105">
        <f t="shared" si="3"/>
        <v>91.27</v>
      </c>
      <c r="I16" s="105">
        <f t="shared" si="4"/>
        <v>91.27</v>
      </c>
    </row>
    <row r="17">
      <c r="A17" s="2">
        <v>15.0</v>
      </c>
      <c r="B17" s="91">
        <v>44576.0</v>
      </c>
      <c r="C17" s="105">
        <f>19.67+14</f>
        <v>33.67</v>
      </c>
      <c r="D17" s="105">
        <v>0.0</v>
      </c>
      <c r="E17" s="105">
        <v>0.0</v>
      </c>
      <c r="F17" s="105">
        <v>0.0</v>
      </c>
      <c r="G17" s="105">
        <v>0.0</v>
      </c>
      <c r="H17" s="105">
        <f t="shared" si="3"/>
        <v>33.67</v>
      </c>
      <c r="I17" s="105">
        <f t="shared" si="4"/>
        <v>33.67</v>
      </c>
    </row>
    <row r="18">
      <c r="A18" s="2">
        <v>16.0</v>
      </c>
      <c r="B18" s="91">
        <v>44577.0</v>
      </c>
      <c r="C18" s="105">
        <f>36+30</f>
        <v>66</v>
      </c>
      <c r="D18" s="105">
        <v>0.0</v>
      </c>
      <c r="E18" s="105">
        <v>0.0</v>
      </c>
      <c r="F18" s="105">
        <v>0.0</v>
      </c>
      <c r="G18" s="105">
        <v>0.0</v>
      </c>
      <c r="H18" s="105">
        <f t="shared" si="3"/>
        <v>66</v>
      </c>
      <c r="I18" s="105">
        <f t="shared" si="4"/>
        <v>66</v>
      </c>
    </row>
    <row r="19">
      <c r="A19" s="2">
        <v>17.0</v>
      </c>
      <c r="B19" s="91">
        <v>44578.0</v>
      </c>
      <c r="C19" s="105">
        <v>24.0</v>
      </c>
      <c r="D19" s="105">
        <v>0.0</v>
      </c>
      <c r="E19" s="105">
        <v>0.0</v>
      </c>
      <c r="F19" s="105">
        <v>0.0</v>
      </c>
      <c r="G19" s="105">
        <v>0.0</v>
      </c>
      <c r="H19" s="105">
        <f t="shared" si="3"/>
        <v>24</v>
      </c>
      <c r="I19" s="105">
        <f t="shared" si="4"/>
        <v>24</v>
      </c>
    </row>
    <row r="20">
      <c r="A20" s="2">
        <v>18.0</v>
      </c>
      <c r="B20" s="91">
        <v>44579.0</v>
      </c>
      <c r="C20" s="105">
        <v>39.52</v>
      </c>
      <c r="D20" s="105">
        <v>0.0</v>
      </c>
      <c r="E20" s="105">
        <v>0.0</v>
      </c>
      <c r="F20" s="105">
        <v>0.0</v>
      </c>
      <c r="G20" s="105">
        <v>0.0</v>
      </c>
      <c r="H20" s="105">
        <f t="shared" si="3"/>
        <v>39.52</v>
      </c>
      <c r="I20" s="105">
        <f t="shared" si="4"/>
        <v>39.52</v>
      </c>
    </row>
    <row r="21" ht="15.75" customHeight="1">
      <c r="A21" s="2">
        <v>19.0</v>
      </c>
      <c r="B21" s="91">
        <v>44580.0</v>
      </c>
      <c r="C21" s="105">
        <v>39.4</v>
      </c>
      <c r="D21" s="105">
        <v>10.0</v>
      </c>
      <c r="E21" s="105">
        <v>0.0</v>
      </c>
      <c r="F21" s="105">
        <v>0.0</v>
      </c>
      <c r="G21" s="105">
        <v>0.0</v>
      </c>
      <c r="H21" s="105">
        <f t="shared" si="3"/>
        <v>49.4</v>
      </c>
      <c r="I21" s="105">
        <f t="shared" si="4"/>
        <v>49.4</v>
      </c>
    </row>
    <row r="22" ht="15.75" customHeight="1">
      <c r="A22" s="2">
        <v>20.0</v>
      </c>
      <c r="B22" s="91">
        <v>44581.0</v>
      </c>
      <c r="C22" s="105">
        <f>120+17.5+35</f>
        <v>172.5</v>
      </c>
      <c r="D22" s="105">
        <v>0.0</v>
      </c>
      <c r="E22" s="105">
        <v>0.0</v>
      </c>
      <c r="F22" s="105">
        <v>0.0</v>
      </c>
      <c r="G22" s="105">
        <v>60.0</v>
      </c>
      <c r="H22" s="105">
        <f t="shared" si="3"/>
        <v>172.5</v>
      </c>
      <c r="I22" s="105">
        <f t="shared" si="4"/>
        <v>232.5</v>
      </c>
    </row>
    <row r="23" ht="15.75" customHeight="1">
      <c r="A23" s="2">
        <v>21.0</v>
      </c>
      <c r="B23" s="91">
        <v>44582.0</v>
      </c>
      <c r="C23" s="105">
        <v>23.32</v>
      </c>
      <c r="D23" s="105">
        <v>0.0</v>
      </c>
      <c r="E23" s="105">
        <v>0.0</v>
      </c>
      <c r="F23" s="105">
        <v>0.0</v>
      </c>
      <c r="G23" s="105">
        <v>0.0</v>
      </c>
      <c r="H23" s="105">
        <f t="shared" si="3"/>
        <v>23.32</v>
      </c>
      <c r="I23" s="105">
        <f t="shared" si="4"/>
        <v>23.32</v>
      </c>
    </row>
    <row r="24" ht="15.75" customHeight="1">
      <c r="A24" s="2">
        <v>22.0</v>
      </c>
      <c r="B24" s="91">
        <v>44583.0</v>
      </c>
      <c r="C24" s="105">
        <v>30.0</v>
      </c>
      <c r="D24" s="105">
        <v>0.0</v>
      </c>
      <c r="E24" s="105">
        <v>0.0</v>
      </c>
      <c r="F24" s="105">
        <v>0.0</v>
      </c>
      <c r="G24" s="105">
        <v>0.0</v>
      </c>
      <c r="H24" s="105">
        <f t="shared" si="3"/>
        <v>30</v>
      </c>
      <c r="I24" s="105">
        <f t="shared" si="4"/>
        <v>30</v>
      </c>
    </row>
    <row r="25" ht="15.75" customHeight="1">
      <c r="A25" s="2">
        <v>23.0</v>
      </c>
      <c r="B25" s="91">
        <v>44584.0</v>
      </c>
      <c r="C25" s="105">
        <v>58.35</v>
      </c>
      <c r="D25" s="105">
        <v>0.0</v>
      </c>
      <c r="E25" s="105">
        <v>0.0</v>
      </c>
      <c r="F25" s="105">
        <v>0.0</v>
      </c>
      <c r="G25" s="105">
        <v>0.0</v>
      </c>
      <c r="H25" s="105">
        <f t="shared" si="3"/>
        <v>58.35</v>
      </c>
      <c r="I25" s="105">
        <f t="shared" si="4"/>
        <v>58.35</v>
      </c>
    </row>
    <row r="26" ht="15.75" customHeight="1">
      <c r="A26" s="2">
        <v>24.0</v>
      </c>
      <c r="B26" s="91">
        <v>44585.0</v>
      </c>
      <c r="C26" s="105">
        <v>34.8</v>
      </c>
      <c r="D26" s="105">
        <v>0.0</v>
      </c>
      <c r="E26" s="105">
        <v>0.0</v>
      </c>
      <c r="F26" s="105">
        <v>0.0</v>
      </c>
      <c r="G26" s="105">
        <v>0.0</v>
      </c>
      <c r="H26" s="105">
        <f t="shared" si="3"/>
        <v>34.8</v>
      </c>
      <c r="I26" s="105">
        <f t="shared" si="4"/>
        <v>34.8</v>
      </c>
    </row>
    <row r="27" ht="15.75" customHeight="1">
      <c r="A27" s="2">
        <v>25.0</v>
      </c>
      <c r="B27" s="91">
        <v>44586.0</v>
      </c>
      <c r="C27" s="105">
        <v>40.75</v>
      </c>
      <c r="D27" s="105">
        <v>0.0</v>
      </c>
      <c r="E27" s="105">
        <v>0.0</v>
      </c>
      <c r="F27" s="105">
        <v>0.0</v>
      </c>
      <c r="G27" s="105">
        <v>0.0</v>
      </c>
      <c r="H27" s="105">
        <f t="shared" si="3"/>
        <v>40.75</v>
      </c>
      <c r="I27" s="105">
        <f t="shared" si="4"/>
        <v>40.75</v>
      </c>
    </row>
    <row r="28" ht="15.75" customHeight="1">
      <c r="A28" s="2">
        <v>26.0</v>
      </c>
      <c r="B28" s="91">
        <v>44587.0</v>
      </c>
      <c r="C28" s="105">
        <v>46.55</v>
      </c>
      <c r="D28" s="105">
        <v>0.0</v>
      </c>
      <c r="E28" s="105">
        <v>0.0</v>
      </c>
      <c r="F28" s="105">
        <v>0.0</v>
      </c>
      <c r="G28" s="105">
        <v>0.0</v>
      </c>
      <c r="H28" s="105">
        <f t="shared" si="3"/>
        <v>46.55</v>
      </c>
      <c r="I28" s="105">
        <f t="shared" si="4"/>
        <v>46.55</v>
      </c>
    </row>
    <row r="29" ht="15.75" customHeight="1">
      <c r="A29" s="2">
        <v>27.0</v>
      </c>
      <c r="B29" s="91">
        <v>44588.0</v>
      </c>
      <c r="C29" s="105">
        <f>17.5+38+19.9</f>
        <v>75.4</v>
      </c>
      <c r="D29" s="105">
        <v>0.0</v>
      </c>
      <c r="E29" s="105">
        <v>0.0</v>
      </c>
      <c r="F29" s="105">
        <v>0.0</v>
      </c>
      <c r="G29" s="105">
        <v>0.0</v>
      </c>
      <c r="H29" s="105">
        <f t="shared" si="3"/>
        <v>75.4</v>
      </c>
      <c r="I29" s="105">
        <f t="shared" si="4"/>
        <v>75.4</v>
      </c>
    </row>
    <row r="30" ht="15.75" customHeight="1">
      <c r="A30" s="2">
        <v>28.0</v>
      </c>
      <c r="B30" s="91">
        <v>44589.0</v>
      </c>
      <c r="C30" s="105">
        <f>23+20.29</f>
        <v>43.29</v>
      </c>
      <c r="D30" s="105">
        <v>10.0</v>
      </c>
      <c r="E30" s="105">
        <v>0.0</v>
      </c>
      <c r="F30" s="105">
        <v>0.0</v>
      </c>
      <c r="G30" s="105">
        <v>0.0</v>
      </c>
      <c r="H30" s="105">
        <f t="shared" si="3"/>
        <v>53.29</v>
      </c>
      <c r="I30" s="105">
        <f t="shared" si="4"/>
        <v>53.29</v>
      </c>
    </row>
    <row r="31" ht="15.75" customHeight="1">
      <c r="A31" s="2">
        <v>29.0</v>
      </c>
      <c r="B31" s="91">
        <v>44590.0</v>
      </c>
      <c r="C31" s="105">
        <f>28+19.39+2.42</f>
        <v>49.81</v>
      </c>
      <c r="D31" s="105">
        <v>0.0</v>
      </c>
      <c r="E31" s="105">
        <v>350.0</v>
      </c>
      <c r="F31" s="105">
        <f>40+385</f>
        <v>425</v>
      </c>
      <c r="G31" s="105">
        <v>0.0</v>
      </c>
      <c r="H31" s="105">
        <f t="shared" si="3"/>
        <v>49.81</v>
      </c>
      <c r="I31" s="105">
        <f t="shared" si="4"/>
        <v>824.81</v>
      </c>
    </row>
    <row r="32" ht="15.75" customHeight="1">
      <c r="A32" s="2">
        <v>30.0</v>
      </c>
      <c r="B32" s="91">
        <v>44591.0</v>
      </c>
      <c r="C32" s="105">
        <v>28.0</v>
      </c>
      <c r="D32" s="105">
        <v>0.0</v>
      </c>
      <c r="E32" s="105">
        <v>0.0</v>
      </c>
      <c r="F32" s="105">
        <v>0.0</v>
      </c>
      <c r="G32" s="105">
        <v>0.0</v>
      </c>
      <c r="H32" s="105">
        <f t="shared" si="3"/>
        <v>28</v>
      </c>
      <c r="I32" s="105">
        <f t="shared" si="4"/>
        <v>28</v>
      </c>
    </row>
    <row r="33" ht="15.75" customHeight="1">
      <c r="A33" s="2">
        <v>31.0</v>
      </c>
      <c r="B33" s="91">
        <v>44592.0</v>
      </c>
      <c r="C33" s="105">
        <f>46.45+17.9+32.69+13.14+26</f>
        <v>136.18</v>
      </c>
      <c r="D33" s="105">
        <v>0.0</v>
      </c>
      <c r="E33" s="105">
        <v>0.0</v>
      </c>
      <c r="F33" s="105">
        <v>0.0</v>
      </c>
      <c r="G33" s="105">
        <v>0.0</v>
      </c>
      <c r="H33" s="105">
        <f t="shared" si="3"/>
        <v>136.18</v>
      </c>
      <c r="I33" s="105">
        <f t="shared" si="4"/>
        <v>136.18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G1"/>
    <mergeCell ref="H1:H2"/>
    <mergeCell ref="I1:I2"/>
    <mergeCell ref="J1:J2"/>
    <mergeCell ref="K1:K2"/>
    <mergeCell ref="L1:L2"/>
    <mergeCell ref="M1:M2"/>
  </mergeCell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43"/>
    <col customWidth="1" min="3" max="3" width="5.14"/>
    <col customWidth="1" min="4" max="4" width="13.14"/>
    <col customWidth="1" min="5" max="5" width="4.86"/>
    <col customWidth="1" min="6" max="6" width="4.14"/>
    <col customWidth="1" min="7" max="7" width="5.71"/>
    <col customWidth="1" min="8" max="8" width="23.43"/>
    <col customWidth="1" min="9" max="9" width="9.71"/>
    <col customWidth="1" min="10" max="10" width="11.86"/>
    <col customWidth="1" min="11" max="11" width="12.86"/>
    <col customWidth="1" min="12" max="12" width="15.71"/>
    <col customWidth="1" min="13" max="13" width="6.43"/>
    <col customWidth="1" min="14" max="14" width="10.0"/>
    <col customWidth="1" min="15" max="26" width="8.86"/>
  </cols>
  <sheetData>
    <row r="1">
      <c r="C1" s="178" t="s">
        <v>95</v>
      </c>
      <c r="D1" s="179"/>
      <c r="E1" s="179"/>
      <c r="F1" s="179"/>
      <c r="G1" s="180"/>
      <c r="H1" s="181" t="s">
        <v>96</v>
      </c>
      <c r="I1" s="192" t="s">
        <v>67</v>
      </c>
      <c r="J1" s="183" t="s">
        <v>97</v>
      </c>
      <c r="K1" s="184" t="s">
        <v>98</v>
      </c>
      <c r="L1" s="183" t="s">
        <v>103</v>
      </c>
      <c r="M1" s="184" t="s">
        <v>101</v>
      </c>
    </row>
    <row r="2">
      <c r="B2" s="106" t="s">
        <v>60</v>
      </c>
      <c r="C2" s="189" t="s">
        <v>35</v>
      </c>
      <c r="D2" s="190" t="s">
        <v>37</v>
      </c>
      <c r="E2" s="190" t="s">
        <v>62</v>
      </c>
      <c r="F2" s="190" t="s">
        <v>40</v>
      </c>
      <c r="G2" s="190" t="s">
        <v>66</v>
      </c>
      <c r="H2" s="188"/>
      <c r="I2" s="191"/>
      <c r="J2" s="188"/>
      <c r="K2" s="188"/>
      <c r="L2" s="188"/>
      <c r="M2" s="188"/>
    </row>
    <row r="3">
      <c r="A3" s="2">
        <v>1.0</v>
      </c>
      <c r="B3" s="91">
        <v>44531.0</v>
      </c>
      <c r="C3" s="2">
        <f>25+30+91.81</f>
        <v>146.81</v>
      </c>
      <c r="D3" s="2">
        <v>0.0</v>
      </c>
      <c r="E3" s="2">
        <v>0.0</v>
      </c>
      <c r="F3" s="2">
        <v>0.0</v>
      </c>
      <c r="G3" s="2">
        <v>0.0</v>
      </c>
      <c r="H3" s="193">
        <f t="shared" ref="H3:H33" si="2">+SUM(C3,D3)</f>
        <v>146.81</v>
      </c>
      <c r="I3" s="193">
        <f t="shared" ref="I3:I33" si="3">+SUM(C3:G3)</f>
        <v>146.81</v>
      </c>
      <c r="J3" s="194">
        <f>+L3/A33</f>
        <v>62.70193548</v>
      </c>
      <c r="K3" s="194">
        <f>+M3/A33</f>
        <v>114.7729032</v>
      </c>
      <c r="L3" s="194">
        <f t="shared" ref="L3:M3" si="1">+SUM(H3:H33)</f>
        <v>1943.76</v>
      </c>
      <c r="M3" s="194">
        <f t="shared" si="1"/>
        <v>3557.96</v>
      </c>
    </row>
    <row r="4">
      <c r="A4" s="2">
        <v>2.0</v>
      </c>
      <c r="B4" s="91">
        <v>44532.0</v>
      </c>
      <c r="C4" s="2">
        <f>32+14.5</f>
        <v>46.5</v>
      </c>
      <c r="D4" s="2">
        <v>0.0</v>
      </c>
      <c r="E4" s="2">
        <v>0.0</v>
      </c>
      <c r="F4" s="2">
        <v>0.0</v>
      </c>
      <c r="G4" s="2">
        <v>0.0</v>
      </c>
      <c r="H4" s="193">
        <f t="shared" si="2"/>
        <v>46.5</v>
      </c>
      <c r="I4" s="193">
        <f t="shared" si="3"/>
        <v>46.5</v>
      </c>
      <c r="J4" s="193"/>
      <c r="K4" s="193"/>
      <c r="L4" s="193"/>
    </row>
    <row r="5">
      <c r="A5" s="2">
        <v>3.0</v>
      </c>
      <c r="B5" s="91">
        <v>44533.0</v>
      </c>
      <c r="C5" s="2">
        <v>31.48</v>
      </c>
      <c r="D5" s="2">
        <v>0.0</v>
      </c>
      <c r="E5" s="2">
        <v>0.0</v>
      </c>
      <c r="F5" s="2">
        <v>0.0</v>
      </c>
      <c r="G5" s="2">
        <v>0.0</v>
      </c>
      <c r="H5" s="193">
        <f t="shared" si="2"/>
        <v>31.48</v>
      </c>
      <c r="I5" s="193">
        <f t="shared" si="3"/>
        <v>31.48</v>
      </c>
      <c r="J5" s="193"/>
      <c r="K5" s="193"/>
      <c r="L5" s="193"/>
    </row>
    <row r="6">
      <c r="A6" s="2">
        <v>4.0</v>
      </c>
      <c r="B6" s="91">
        <v>44534.0</v>
      </c>
      <c r="C6" s="2">
        <v>100.0</v>
      </c>
      <c r="D6" s="2">
        <v>0.0</v>
      </c>
      <c r="E6" s="2">
        <v>0.0</v>
      </c>
      <c r="F6" s="2">
        <v>0.0</v>
      </c>
      <c r="G6" s="2">
        <f>50+25</f>
        <v>75</v>
      </c>
      <c r="H6" s="193">
        <f t="shared" si="2"/>
        <v>100</v>
      </c>
      <c r="I6" s="193">
        <f t="shared" si="3"/>
        <v>175</v>
      </c>
      <c r="J6" s="193"/>
      <c r="K6" s="193"/>
      <c r="L6" s="193"/>
    </row>
    <row r="7">
      <c r="A7" s="2">
        <v>5.0</v>
      </c>
      <c r="B7" s="91">
        <v>44535.0</v>
      </c>
      <c r="C7" s="2">
        <f>40+53.23+22.7</f>
        <v>115.93</v>
      </c>
      <c r="D7" s="2">
        <v>0.0</v>
      </c>
      <c r="E7" s="2">
        <v>0.0</v>
      </c>
      <c r="F7" s="2">
        <v>0.0</v>
      </c>
      <c r="G7" s="2">
        <v>43.5</v>
      </c>
      <c r="H7" s="193">
        <f t="shared" si="2"/>
        <v>115.93</v>
      </c>
      <c r="I7" s="193">
        <f t="shared" si="3"/>
        <v>159.43</v>
      </c>
      <c r="J7" s="193"/>
      <c r="K7" s="193"/>
      <c r="L7" s="193"/>
    </row>
    <row r="8">
      <c r="A8" s="2">
        <v>6.0</v>
      </c>
      <c r="B8" s="91">
        <v>44536.0</v>
      </c>
      <c r="C8" s="2">
        <f>21.8+48</f>
        <v>69.8</v>
      </c>
      <c r="D8" s="2">
        <v>0.0</v>
      </c>
      <c r="E8" s="2">
        <v>0.0</v>
      </c>
      <c r="F8" s="2">
        <v>36.25</v>
      </c>
      <c r="G8" s="2">
        <f>40+70+21.8+275</f>
        <v>406.8</v>
      </c>
      <c r="H8" s="193">
        <f t="shared" si="2"/>
        <v>69.8</v>
      </c>
      <c r="I8" s="193">
        <f t="shared" si="3"/>
        <v>512.85</v>
      </c>
      <c r="J8" s="193"/>
      <c r="K8" s="193"/>
      <c r="L8" s="193"/>
    </row>
    <row r="9">
      <c r="A9" s="2">
        <v>7.0</v>
      </c>
      <c r="B9" s="91">
        <v>44537.0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193">
        <f t="shared" si="2"/>
        <v>0</v>
      </c>
      <c r="I9" s="193">
        <f t="shared" si="3"/>
        <v>0</v>
      </c>
      <c r="J9" s="193"/>
      <c r="K9" s="193"/>
      <c r="L9" s="193"/>
    </row>
    <row r="10">
      <c r="A10" s="2">
        <v>8.0</v>
      </c>
      <c r="B10" s="91">
        <v>44538.0</v>
      </c>
      <c r="C10" s="2">
        <f>11.8+32</f>
        <v>43.8</v>
      </c>
      <c r="D10" s="2">
        <v>7.0</v>
      </c>
      <c r="E10" s="2">
        <v>0.0</v>
      </c>
      <c r="F10" s="2">
        <v>0.0</v>
      </c>
      <c r="G10" s="2">
        <v>0.0</v>
      </c>
      <c r="H10" s="193">
        <f t="shared" si="2"/>
        <v>50.8</v>
      </c>
      <c r="I10" s="193">
        <f t="shared" si="3"/>
        <v>50.8</v>
      </c>
      <c r="J10" s="193"/>
      <c r="K10" s="193"/>
      <c r="L10" s="193"/>
    </row>
    <row r="11">
      <c r="A11" s="2">
        <v>9.0</v>
      </c>
      <c r="B11" s="91">
        <v>44539.0</v>
      </c>
      <c r="C11" s="2">
        <f>29.61+17.5</f>
        <v>47.11</v>
      </c>
      <c r="D11" s="2">
        <v>0.0</v>
      </c>
      <c r="E11" s="2">
        <v>0.0</v>
      </c>
      <c r="F11" s="2">
        <v>0.0</v>
      </c>
      <c r="G11" s="2">
        <v>0.0</v>
      </c>
      <c r="H11" s="193">
        <f t="shared" si="2"/>
        <v>47.11</v>
      </c>
      <c r="I11" s="193">
        <f t="shared" si="3"/>
        <v>47.11</v>
      </c>
      <c r="J11" s="193"/>
      <c r="K11" s="193"/>
      <c r="L11" s="193"/>
    </row>
    <row r="12">
      <c r="A12" s="2">
        <v>10.0</v>
      </c>
      <c r="B12" s="91">
        <v>44540.0</v>
      </c>
      <c r="C12" s="2">
        <f>14.79+32</f>
        <v>46.79</v>
      </c>
      <c r="D12" s="2">
        <v>3.5</v>
      </c>
      <c r="E12" s="2">
        <v>0.0</v>
      </c>
      <c r="F12" s="2">
        <v>0.0</v>
      </c>
      <c r="G12" s="2">
        <v>0.0</v>
      </c>
      <c r="H12" s="193">
        <f t="shared" si="2"/>
        <v>50.29</v>
      </c>
      <c r="I12" s="193">
        <f t="shared" si="3"/>
        <v>50.29</v>
      </c>
      <c r="J12" s="193"/>
      <c r="K12" s="193"/>
      <c r="L12" s="193"/>
    </row>
    <row r="13">
      <c r="A13" s="2">
        <v>11.0</v>
      </c>
      <c r="B13" s="91">
        <v>44541.0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193">
        <f t="shared" si="2"/>
        <v>0</v>
      </c>
      <c r="I13" s="193">
        <f t="shared" si="3"/>
        <v>0</v>
      </c>
      <c r="J13" s="193"/>
      <c r="K13" s="193"/>
      <c r="L13" s="193"/>
      <c r="N13" s="195"/>
    </row>
    <row r="14">
      <c r="A14" s="2">
        <v>12.0</v>
      </c>
      <c r="B14" s="91">
        <v>44542.0</v>
      </c>
      <c r="C14" s="2">
        <f>78.25+16</f>
        <v>94.25</v>
      </c>
      <c r="D14" s="2">
        <v>0.0</v>
      </c>
      <c r="E14" s="2">
        <v>0.0</v>
      </c>
      <c r="F14" s="2">
        <v>0.0</v>
      </c>
      <c r="G14" s="2">
        <v>165.0</v>
      </c>
      <c r="H14" s="193">
        <f t="shared" si="2"/>
        <v>94.25</v>
      </c>
      <c r="I14" s="193">
        <f t="shared" si="3"/>
        <v>259.25</v>
      </c>
      <c r="J14" s="193"/>
      <c r="K14" s="193"/>
      <c r="L14" s="193"/>
    </row>
    <row r="15">
      <c r="A15" s="2">
        <v>13.0</v>
      </c>
      <c r="B15" s="91">
        <v>44543.0</v>
      </c>
      <c r="C15" s="2">
        <f>30+19</f>
        <v>49</v>
      </c>
      <c r="D15" s="2">
        <v>0.0</v>
      </c>
      <c r="E15" s="2">
        <v>0.0</v>
      </c>
      <c r="F15" s="2">
        <v>0.0</v>
      </c>
      <c r="G15" s="2">
        <v>1.0</v>
      </c>
      <c r="H15" s="193">
        <f t="shared" si="2"/>
        <v>49</v>
      </c>
      <c r="I15" s="193">
        <f t="shared" si="3"/>
        <v>50</v>
      </c>
      <c r="J15" s="193"/>
      <c r="K15" s="193"/>
      <c r="L15" s="193"/>
    </row>
    <row r="16">
      <c r="A16" s="2">
        <v>14.0</v>
      </c>
      <c r="B16" s="91">
        <v>44544.0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193">
        <f t="shared" si="2"/>
        <v>0</v>
      </c>
      <c r="I16" s="193">
        <f t="shared" si="3"/>
        <v>0</v>
      </c>
      <c r="J16" s="193"/>
      <c r="K16" s="193"/>
      <c r="L16" s="193"/>
    </row>
    <row r="17">
      <c r="A17" s="2">
        <v>15.0</v>
      </c>
      <c r="B17" s="91">
        <v>44545.0</v>
      </c>
      <c r="C17" s="2">
        <v>41.17</v>
      </c>
      <c r="D17" s="2">
        <v>0.0</v>
      </c>
      <c r="E17" s="2">
        <v>0.0</v>
      </c>
      <c r="F17" s="2">
        <v>0.0</v>
      </c>
      <c r="G17" s="2">
        <v>0.0</v>
      </c>
      <c r="H17" s="193">
        <f t="shared" si="2"/>
        <v>41.17</v>
      </c>
      <c r="I17" s="193">
        <f t="shared" si="3"/>
        <v>41.17</v>
      </c>
      <c r="J17" s="193"/>
      <c r="K17" s="193"/>
      <c r="L17" s="193"/>
    </row>
    <row r="18">
      <c r="A18" s="2">
        <v>16.0</v>
      </c>
      <c r="B18" s="91">
        <v>44546.0</v>
      </c>
      <c r="C18" s="2">
        <v>4.5</v>
      </c>
      <c r="D18" s="2">
        <f>3.5+35</f>
        <v>38.5</v>
      </c>
      <c r="E18" s="2">
        <v>0.0</v>
      </c>
      <c r="F18" s="2">
        <v>0.0</v>
      </c>
      <c r="G18" s="2">
        <v>0.0</v>
      </c>
      <c r="H18" s="193">
        <f t="shared" si="2"/>
        <v>43</v>
      </c>
      <c r="I18" s="193">
        <f t="shared" si="3"/>
        <v>43</v>
      </c>
      <c r="J18" s="193"/>
      <c r="K18" s="193"/>
      <c r="L18" s="193"/>
    </row>
    <row r="19">
      <c r="A19" s="2">
        <v>17.0</v>
      </c>
      <c r="B19" s="91">
        <v>44547.0</v>
      </c>
      <c r="C19" s="2">
        <f>38+13.7</f>
        <v>51.7</v>
      </c>
      <c r="D19" s="2">
        <v>0.0</v>
      </c>
      <c r="E19" s="2">
        <v>0.0</v>
      </c>
      <c r="F19" s="2">
        <v>91.75</v>
      </c>
      <c r="G19" s="2">
        <v>0.0</v>
      </c>
      <c r="H19" s="193">
        <f t="shared" si="2"/>
        <v>51.7</v>
      </c>
      <c r="I19" s="193">
        <f t="shared" si="3"/>
        <v>143.45</v>
      </c>
      <c r="J19" s="193"/>
      <c r="K19" s="193"/>
      <c r="L19" s="193"/>
    </row>
    <row r="20">
      <c r="A20" s="2">
        <v>18.0</v>
      </c>
      <c r="B20" s="91">
        <v>44548.0</v>
      </c>
      <c r="C20" s="2">
        <f>30+67.96</f>
        <v>97.96</v>
      </c>
      <c r="D20" s="2">
        <v>0.0</v>
      </c>
      <c r="E20" s="2">
        <v>0.0</v>
      </c>
      <c r="F20" s="2">
        <v>0.0</v>
      </c>
      <c r="G20" s="2">
        <v>0.0</v>
      </c>
      <c r="H20" s="193">
        <f t="shared" si="2"/>
        <v>97.96</v>
      </c>
      <c r="I20" s="193">
        <f t="shared" si="3"/>
        <v>97.96</v>
      </c>
      <c r="J20" s="193"/>
      <c r="K20" s="193"/>
      <c r="L20" s="193"/>
    </row>
    <row r="21" ht="15.75" customHeight="1">
      <c r="A21" s="2">
        <v>19.0</v>
      </c>
      <c r="B21" s="91">
        <v>44549.0</v>
      </c>
      <c r="C21" s="2">
        <v>26.0</v>
      </c>
      <c r="D21" s="2">
        <v>0.0</v>
      </c>
      <c r="E21" s="2">
        <v>0.0</v>
      </c>
      <c r="F21" s="2">
        <v>0.0</v>
      </c>
      <c r="G21" s="2">
        <v>0.0</v>
      </c>
      <c r="H21" s="193">
        <f t="shared" si="2"/>
        <v>26</v>
      </c>
      <c r="I21" s="193">
        <f t="shared" si="3"/>
        <v>26</v>
      </c>
      <c r="J21" s="193"/>
      <c r="K21" s="193"/>
      <c r="L21" s="193"/>
    </row>
    <row r="22" ht="15.75" customHeight="1">
      <c r="A22" s="2">
        <v>20.0</v>
      </c>
      <c r="B22" s="91">
        <v>44550.0</v>
      </c>
      <c r="C22" s="2">
        <v>35.0</v>
      </c>
      <c r="D22" s="2">
        <v>0.0</v>
      </c>
      <c r="E22" s="2">
        <v>0.0</v>
      </c>
      <c r="F22" s="2">
        <v>0.0</v>
      </c>
      <c r="G22" s="2">
        <v>0.0</v>
      </c>
      <c r="H22" s="193">
        <f t="shared" si="2"/>
        <v>35</v>
      </c>
      <c r="I22" s="193">
        <f t="shared" si="3"/>
        <v>35</v>
      </c>
      <c r="J22" s="193"/>
      <c r="K22" s="193"/>
      <c r="L22" s="193"/>
    </row>
    <row r="23" ht="15.75" customHeight="1">
      <c r="A23" s="2">
        <v>21.0</v>
      </c>
      <c r="B23" s="91">
        <v>44551.0</v>
      </c>
      <c r="C23" s="2">
        <v>68.05</v>
      </c>
      <c r="D23" s="2">
        <v>0.0</v>
      </c>
      <c r="E23" s="2">
        <v>0.0</v>
      </c>
      <c r="F23" s="2">
        <v>0.0</v>
      </c>
      <c r="G23" s="2">
        <v>0.0</v>
      </c>
      <c r="H23" s="193">
        <f t="shared" si="2"/>
        <v>68.05</v>
      </c>
      <c r="I23" s="193">
        <f t="shared" si="3"/>
        <v>68.05</v>
      </c>
    </row>
    <row r="24" ht="15.75" customHeight="1">
      <c r="A24" s="2">
        <v>22.0</v>
      </c>
      <c r="B24" s="91">
        <v>44552.0</v>
      </c>
      <c r="C24" s="2">
        <f>7.25+5.09+29.07</f>
        <v>41.41</v>
      </c>
      <c r="D24" s="2">
        <v>7.0</v>
      </c>
      <c r="E24" s="2">
        <v>0.0</v>
      </c>
      <c r="F24" s="2">
        <v>0.0</v>
      </c>
      <c r="G24" s="2">
        <v>0.0</v>
      </c>
      <c r="H24" s="193">
        <f t="shared" si="2"/>
        <v>48.41</v>
      </c>
      <c r="I24" s="193">
        <f t="shared" si="3"/>
        <v>48.41</v>
      </c>
    </row>
    <row r="25" ht="15.75" customHeight="1">
      <c r="A25" s="2">
        <v>23.0</v>
      </c>
      <c r="B25" s="91">
        <v>44553.0</v>
      </c>
      <c r="C25" s="2">
        <f>15.25+22.34</f>
        <v>37.59</v>
      </c>
      <c r="D25" s="2">
        <v>0.0</v>
      </c>
      <c r="E25" s="2">
        <v>0.0</v>
      </c>
      <c r="F25" s="2">
        <v>0.0</v>
      </c>
      <c r="G25" s="2">
        <v>0.0</v>
      </c>
      <c r="H25" s="193">
        <f t="shared" si="2"/>
        <v>37.59</v>
      </c>
      <c r="I25" s="193">
        <f t="shared" si="3"/>
        <v>37.59</v>
      </c>
    </row>
    <row r="26" ht="15.75" customHeight="1">
      <c r="A26" s="2">
        <v>24.0</v>
      </c>
      <c r="B26" s="91">
        <v>44554.0</v>
      </c>
      <c r="C26" s="2">
        <v>0.0</v>
      </c>
      <c r="D26" s="2">
        <v>0.0</v>
      </c>
      <c r="E26" s="2">
        <v>350.0</v>
      </c>
      <c r="F26" s="2">
        <v>440.0</v>
      </c>
      <c r="G26" s="2">
        <v>0.0</v>
      </c>
      <c r="H26" s="193">
        <f t="shared" si="2"/>
        <v>0</v>
      </c>
      <c r="I26" s="193">
        <f t="shared" si="3"/>
        <v>790</v>
      </c>
    </row>
    <row r="27" ht="15.75" customHeight="1">
      <c r="A27" s="2">
        <v>25.0</v>
      </c>
      <c r="B27" s="91">
        <v>44555.0</v>
      </c>
      <c r="C27" s="2">
        <f>90.45+30.96</f>
        <v>121.41</v>
      </c>
      <c r="D27" s="2">
        <v>0.0</v>
      </c>
      <c r="E27" s="2">
        <v>0.0</v>
      </c>
      <c r="F27" s="2">
        <v>0.0</v>
      </c>
      <c r="G27" s="2">
        <v>0.0</v>
      </c>
      <c r="H27" s="193">
        <f t="shared" si="2"/>
        <v>121.41</v>
      </c>
      <c r="I27" s="193">
        <f t="shared" si="3"/>
        <v>121.41</v>
      </c>
    </row>
    <row r="28" ht="15.75" customHeight="1">
      <c r="A28" s="2">
        <v>26.0</v>
      </c>
      <c r="B28" s="91">
        <v>44556.0</v>
      </c>
      <c r="C28" s="2">
        <v>12.0</v>
      </c>
      <c r="D28" s="2">
        <v>0.0</v>
      </c>
      <c r="E28" s="2">
        <v>0.0</v>
      </c>
      <c r="F28" s="2">
        <v>0.0</v>
      </c>
      <c r="G28" s="2">
        <v>4.9</v>
      </c>
      <c r="H28" s="193">
        <f t="shared" si="2"/>
        <v>12</v>
      </c>
      <c r="I28" s="193">
        <f t="shared" si="3"/>
        <v>16.9</v>
      </c>
    </row>
    <row r="29" ht="15.75" customHeight="1">
      <c r="A29" s="2">
        <v>27.0</v>
      </c>
      <c r="B29" s="91">
        <v>44557.0</v>
      </c>
      <c r="C29" s="2">
        <f>4.5+17.5+10.5</f>
        <v>32.5</v>
      </c>
      <c r="D29" s="2">
        <v>0.0</v>
      </c>
      <c r="E29" s="2">
        <v>0.0</v>
      </c>
      <c r="F29" s="2">
        <v>0.0</v>
      </c>
      <c r="G29" s="2">
        <v>0.0</v>
      </c>
      <c r="H29" s="193">
        <f t="shared" si="2"/>
        <v>32.5</v>
      </c>
      <c r="I29" s="193">
        <f t="shared" si="3"/>
        <v>32.5</v>
      </c>
    </row>
    <row r="30" ht="15.75" customHeight="1">
      <c r="A30" s="2">
        <v>28.0</v>
      </c>
      <c r="B30" s="91">
        <v>44558.0</v>
      </c>
      <c r="C30" s="2">
        <v>35.0</v>
      </c>
      <c r="D30" s="2">
        <v>0.0</v>
      </c>
      <c r="E30" s="2">
        <v>0.0</v>
      </c>
      <c r="F30" s="2">
        <v>0.0</v>
      </c>
      <c r="G30" s="2">
        <v>0.0</v>
      </c>
      <c r="H30" s="193">
        <f t="shared" si="2"/>
        <v>35</v>
      </c>
      <c r="I30" s="193">
        <f t="shared" si="3"/>
        <v>35</v>
      </c>
    </row>
    <row r="31" ht="15.75" customHeight="1">
      <c r="A31" s="2">
        <v>29.0</v>
      </c>
      <c r="B31" s="91">
        <v>44559.0</v>
      </c>
      <c r="C31" s="2">
        <v>0.0</v>
      </c>
      <c r="D31" s="2">
        <v>7.0</v>
      </c>
      <c r="E31" s="2">
        <v>0.0</v>
      </c>
      <c r="F31" s="2">
        <v>0.0</v>
      </c>
      <c r="G31" s="2">
        <v>0.0</v>
      </c>
      <c r="H31" s="193">
        <f t="shared" si="2"/>
        <v>7</v>
      </c>
      <c r="I31" s="193">
        <f t="shared" si="3"/>
        <v>7</v>
      </c>
    </row>
    <row r="32" ht="15.75" customHeight="1">
      <c r="A32" s="2">
        <v>30.0</v>
      </c>
      <c r="B32" s="91">
        <v>44560.0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193">
        <f t="shared" si="2"/>
        <v>0</v>
      </c>
      <c r="I32" s="193">
        <f t="shared" si="3"/>
        <v>0</v>
      </c>
    </row>
    <row r="33" ht="15.75" customHeight="1">
      <c r="A33" s="2">
        <v>31.0</v>
      </c>
      <c r="B33" s="91">
        <v>44561.0</v>
      </c>
      <c r="C33" s="2">
        <v>250.0</v>
      </c>
      <c r="D33" s="2">
        <v>235.0</v>
      </c>
      <c r="E33" s="2">
        <v>0.0</v>
      </c>
      <c r="F33" s="2">
        <v>0.0</v>
      </c>
      <c r="G33" s="2">
        <v>0.0</v>
      </c>
      <c r="H33" s="193">
        <f t="shared" si="2"/>
        <v>485</v>
      </c>
      <c r="I33" s="193">
        <f t="shared" si="3"/>
        <v>485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G1"/>
    <mergeCell ref="H1:H2"/>
    <mergeCell ref="I1:I2"/>
    <mergeCell ref="J1:J2"/>
    <mergeCell ref="K1:K2"/>
    <mergeCell ref="L1:L2"/>
    <mergeCell ref="M1:M2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86"/>
    <col customWidth="1" min="3" max="3" width="8.86"/>
    <col customWidth="1" min="4" max="4" width="13.86"/>
    <col customWidth="1" min="5" max="7" width="8.86"/>
    <col customWidth="1" min="8" max="8" width="23.43"/>
    <col customWidth="1" min="9" max="9" width="15.86"/>
    <col customWidth="1" min="10" max="10" width="10.0"/>
    <col customWidth="1" min="11" max="11" width="12.86"/>
    <col customWidth="1" min="12" max="12" width="13.86"/>
    <col customWidth="1" min="13" max="26" width="8.86"/>
  </cols>
  <sheetData>
    <row r="1">
      <c r="C1" s="196" t="s">
        <v>95</v>
      </c>
      <c r="D1" s="197"/>
      <c r="E1" s="197"/>
      <c r="F1" s="197"/>
      <c r="G1" s="197"/>
    </row>
    <row r="2">
      <c r="B2" s="198" t="s">
        <v>60</v>
      </c>
      <c r="C2" s="199" t="s">
        <v>35</v>
      </c>
      <c r="D2" s="199" t="s">
        <v>37</v>
      </c>
      <c r="E2" s="199" t="s">
        <v>62</v>
      </c>
      <c r="F2" s="199" t="s">
        <v>40</v>
      </c>
      <c r="G2" s="199" t="s">
        <v>66</v>
      </c>
      <c r="H2" s="190" t="s">
        <v>103</v>
      </c>
      <c r="I2" s="190" t="s">
        <v>97</v>
      </c>
      <c r="J2" s="200" t="s">
        <v>67</v>
      </c>
      <c r="K2" s="200" t="s">
        <v>98</v>
      </c>
      <c r="L2" s="201" t="s">
        <v>104</v>
      </c>
    </row>
    <row r="3">
      <c r="A3" s="2">
        <v>1.0</v>
      </c>
      <c r="B3" s="202">
        <v>44501.0</v>
      </c>
      <c r="C3" s="2">
        <f>24.8+45.56</f>
        <v>70.36</v>
      </c>
      <c r="D3" s="2">
        <v>0.0</v>
      </c>
      <c r="E3" s="2">
        <v>0.0</v>
      </c>
      <c r="F3" s="2">
        <v>0.0</v>
      </c>
      <c r="G3" s="2">
        <v>0.0</v>
      </c>
      <c r="H3" s="193">
        <f>+C3+D3</f>
        <v>70.36</v>
      </c>
      <c r="I3" s="193">
        <f t="shared" ref="I3:I32" si="1">+H3/A3</f>
        <v>70.36</v>
      </c>
      <c r="J3" s="193">
        <f t="shared" ref="J3:J32" si="2">+C3+D3+E3+F3+G3</f>
        <v>70.36</v>
      </c>
      <c r="K3" s="193">
        <f>+J3/A3</f>
        <v>70.36</v>
      </c>
      <c r="L3" s="193">
        <f>+J3</f>
        <v>70.36</v>
      </c>
    </row>
    <row r="4">
      <c r="A4" s="2">
        <v>2.0</v>
      </c>
      <c r="B4" s="202">
        <v>44502.0</v>
      </c>
      <c r="C4" s="2">
        <v>6.75</v>
      </c>
      <c r="D4" s="2">
        <v>0.0</v>
      </c>
      <c r="E4" s="2">
        <v>0.0</v>
      </c>
      <c r="F4" s="2">
        <v>0.0</v>
      </c>
      <c r="G4" s="2">
        <v>2.0</v>
      </c>
      <c r="H4" s="193">
        <f t="shared" ref="H4:H32" si="3">+H3+C4+D4</f>
        <v>77.11</v>
      </c>
      <c r="I4" s="193">
        <f t="shared" si="1"/>
        <v>38.555</v>
      </c>
      <c r="J4" s="193">
        <f t="shared" si="2"/>
        <v>8.75</v>
      </c>
      <c r="K4" s="193">
        <f t="shared" ref="K4:K32" si="4">+(L3+J4)/A4</f>
        <v>39.555</v>
      </c>
      <c r="L4" s="193">
        <f t="shared" ref="L4:L32" si="5">+J4+L3</f>
        <v>79.11</v>
      </c>
    </row>
    <row r="5">
      <c r="A5" s="2">
        <v>3.0</v>
      </c>
      <c r="B5" s="202">
        <v>44503.0</v>
      </c>
      <c r="C5" s="2">
        <f>52.25+4.48+27.99+30.14+2.95</f>
        <v>117.81</v>
      </c>
      <c r="D5" s="2">
        <f>60+3.5</f>
        <v>63.5</v>
      </c>
      <c r="E5" s="2">
        <v>0.0</v>
      </c>
      <c r="F5" s="2">
        <v>0.0</v>
      </c>
      <c r="G5" s="2">
        <v>0.0</v>
      </c>
      <c r="H5" s="193">
        <f t="shared" si="3"/>
        <v>258.42</v>
      </c>
      <c r="I5" s="193">
        <f t="shared" si="1"/>
        <v>86.14</v>
      </c>
      <c r="J5" s="193">
        <f t="shared" si="2"/>
        <v>181.31</v>
      </c>
      <c r="K5" s="193">
        <f t="shared" si="4"/>
        <v>86.80666667</v>
      </c>
      <c r="L5" s="193">
        <f t="shared" si="5"/>
        <v>260.42</v>
      </c>
    </row>
    <row r="6">
      <c r="A6" s="2">
        <v>4.0</v>
      </c>
      <c r="B6" s="202">
        <v>44504.0</v>
      </c>
      <c r="C6" s="2">
        <f>19.84+26.25</f>
        <v>46.09</v>
      </c>
      <c r="D6" s="2">
        <v>0.0</v>
      </c>
      <c r="E6" s="2">
        <v>0.0</v>
      </c>
      <c r="F6" s="2">
        <v>0.0</v>
      </c>
      <c r="G6" s="2">
        <v>0.0</v>
      </c>
      <c r="H6" s="193">
        <f t="shared" si="3"/>
        <v>304.51</v>
      </c>
      <c r="I6" s="193">
        <f t="shared" si="1"/>
        <v>76.1275</v>
      </c>
      <c r="J6" s="193">
        <f t="shared" si="2"/>
        <v>46.09</v>
      </c>
      <c r="K6" s="193">
        <f t="shared" si="4"/>
        <v>76.6275</v>
      </c>
      <c r="L6" s="193">
        <f t="shared" si="5"/>
        <v>306.51</v>
      </c>
    </row>
    <row r="7">
      <c r="A7" s="2">
        <v>5.0</v>
      </c>
      <c r="B7" s="202">
        <v>44505.0</v>
      </c>
      <c r="D7" s="2">
        <v>0.0</v>
      </c>
      <c r="E7" s="2">
        <v>0.0</v>
      </c>
      <c r="F7" s="2">
        <v>0.0</v>
      </c>
      <c r="G7" s="2">
        <v>0.0</v>
      </c>
      <c r="H7" s="193">
        <f t="shared" si="3"/>
        <v>304.51</v>
      </c>
      <c r="I7" s="193">
        <f t="shared" si="1"/>
        <v>60.902</v>
      </c>
      <c r="J7" s="193">
        <f t="shared" si="2"/>
        <v>0</v>
      </c>
      <c r="K7" s="193">
        <f t="shared" si="4"/>
        <v>61.302</v>
      </c>
      <c r="L7" s="193">
        <f t="shared" si="5"/>
        <v>306.51</v>
      </c>
    </row>
    <row r="8">
      <c r="A8" s="2">
        <v>6.0</v>
      </c>
      <c r="B8" s="202">
        <v>44506.0</v>
      </c>
      <c r="C8" s="2">
        <f>7.9+39.42+48.71+23.5</f>
        <v>119.53</v>
      </c>
      <c r="D8" s="2">
        <v>0.0</v>
      </c>
      <c r="E8" s="2">
        <v>0.0</v>
      </c>
      <c r="F8" s="2">
        <v>0.0</v>
      </c>
      <c r="G8" s="2">
        <v>0.0</v>
      </c>
      <c r="H8" s="193">
        <f t="shared" si="3"/>
        <v>424.04</v>
      </c>
      <c r="I8" s="193">
        <f t="shared" si="1"/>
        <v>70.67333333</v>
      </c>
      <c r="J8" s="193">
        <f t="shared" si="2"/>
        <v>119.53</v>
      </c>
      <c r="K8" s="193">
        <f t="shared" si="4"/>
        <v>71.00666667</v>
      </c>
      <c r="L8" s="193">
        <f t="shared" si="5"/>
        <v>426.04</v>
      </c>
    </row>
    <row r="9">
      <c r="A9" s="2">
        <v>7.0</v>
      </c>
      <c r="B9" s="202">
        <v>44507.0</v>
      </c>
      <c r="C9" s="2">
        <f>34.13+26.25</f>
        <v>60.38</v>
      </c>
      <c r="D9" s="2">
        <v>0.0</v>
      </c>
      <c r="E9" s="2">
        <v>0.0</v>
      </c>
      <c r="F9" s="2">
        <v>0.0</v>
      </c>
      <c r="G9" s="2">
        <v>0.0</v>
      </c>
      <c r="H9" s="193">
        <f t="shared" si="3"/>
        <v>484.42</v>
      </c>
      <c r="I9" s="193">
        <f t="shared" si="1"/>
        <v>69.20285714</v>
      </c>
      <c r="J9" s="193">
        <f t="shared" si="2"/>
        <v>60.38</v>
      </c>
      <c r="K9" s="193">
        <f t="shared" si="4"/>
        <v>69.48857143</v>
      </c>
      <c r="L9" s="193">
        <f t="shared" si="5"/>
        <v>486.42</v>
      </c>
    </row>
    <row r="10">
      <c r="A10" s="2">
        <v>8.0</v>
      </c>
      <c r="B10" s="202">
        <v>44508.0</v>
      </c>
      <c r="C10" s="2">
        <v>33.0</v>
      </c>
      <c r="D10" s="2">
        <v>0.0</v>
      </c>
      <c r="E10" s="2">
        <v>0.0</v>
      </c>
      <c r="F10" s="2">
        <v>0.0</v>
      </c>
      <c r="G10" s="2">
        <v>0.0</v>
      </c>
      <c r="H10" s="193">
        <f t="shared" si="3"/>
        <v>517.42</v>
      </c>
      <c r="I10" s="193">
        <f t="shared" si="1"/>
        <v>64.6775</v>
      </c>
      <c r="J10" s="193">
        <f t="shared" si="2"/>
        <v>33</v>
      </c>
      <c r="K10" s="193">
        <f t="shared" si="4"/>
        <v>64.9275</v>
      </c>
      <c r="L10" s="193">
        <f t="shared" si="5"/>
        <v>519.42</v>
      </c>
    </row>
    <row r="11">
      <c r="A11" s="2">
        <v>9.0</v>
      </c>
      <c r="B11" s="202">
        <v>44509.0</v>
      </c>
      <c r="C11" s="2">
        <f>20+2.95+11.61</f>
        <v>34.56</v>
      </c>
      <c r="D11" s="2">
        <v>7.0</v>
      </c>
      <c r="E11" s="2">
        <v>0.0</v>
      </c>
      <c r="F11" s="2">
        <v>40.0</v>
      </c>
      <c r="G11" s="2">
        <v>0.0</v>
      </c>
      <c r="H11" s="193">
        <f t="shared" si="3"/>
        <v>558.98</v>
      </c>
      <c r="I11" s="193">
        <f t="shared" si="1"/>
        <v>62.10888889</v>
      </c>
      <c r="J11" s="193">
        <f t="shared" si="2"/>
        <v>81.56</v>
      </c>
      <c r="K11" s="193">
        <f t="shared" si="4"/>
        <v>66.77555556</v>
      </c>
      <c r="L11" s="193">
        <f t="shared" si="5"/>
        <v>600.98</v>
      </c>
    </row>
    <row r="12">
      <c r="A12" s="2">
        <v>10.0</v>
      </c>
      <c r="B12" s="202">
        <v>44510.0</v>
      </c>
      <c r="C12" s="2">
        <f>27.62+2.95</f>
        <v>30.57</v>
      </c>
      <c r="D12" s="2">
        <v>7.0</v>
      </c>
      <c r="E12" s="2">
        <v>0.0</v>
      </c>
      <c r="F12" s="2">
        <v>0.0</v>
      </c>
      <c r="G12" s="2">
        <v>0.0</v>
      </c>
      <c r="H12" s="193">
        <f t="shared" si="3"/>
        <v>596.55</v>
      </c>
      <c r="I12" s="193">
        <f t="shared" si="1"/>
        <v>59.655</v>
      </c>
      <c r="J12" s="193">
        <f t="shared" si="2"/>
        <v>37.57</v>
      </c>
      <c r="K12" s="193">
        <f t="shared" si="4"/>
        <v>63.855</v>
      </c>
      <c r="L12" s="193">
        <f t="shared" si="5"/>
        <v>638.55</v>
      </c>
    </row>
    <row r="13">
      <c r="A13" s="2">
        <v>11.0</v>
      </c>
      <c r="B13" s="202">
        <v>44511.0</v>
      </c>
      <c r="C13" s="2">
        <f>11.83+20.4</f>
        <v>32.23</v>
      </c>
      <c r="D13" s="2">
        <v>0.0</v>
      </c>
      <c r="E13" s="2">
        <v>0.0</v>
      </c>
      <c r="F13" s="2">
        <v>40.25</v>
      </c>
      <c r="G13" s="2">
        <v>0.0</v>
      </c>
      <c r="H13" s="193">
        <f t="shared" si="3"/>
        <v>628.78</v>
      </c>
      <c r="I13" s="193">
        <f t="shared" si="1"/>
        <v>57.16181818</v>
      </c>
      <c r="J13" s="193">
        <f t="shared" si="2"/>
        <v>72.48</v>
      </c>
      <c r="K13" s="193">
        <f t="shared" si="4"/>
        <v>64.63909091</v>
      </c>
      <c r="L13" s="193">
        <f t="shared" si="5"/>
        <v>711.03</v>
      </c>
    </row>
    <row r="14">
      <c r="A14" s="2">
        <v>12.0</v>
      </c>
      <c r="B14" s="202">
        <v>44512.0</v>
      </c>
      <c r="D14" s="2">
        <v>0.0</v>
      </c>
      <c r="E14" s="2">
        <v>0.0</v>
      </c>
      <c r="F14" s="2">
        <v>0.0</v>
      </c>
      <c r="G14" s="2">
        <v>0.0</v>
      </c>
      <c r="H14" s="193">
        <f t="shared" si="3"/>
        <v>628.78</v>
      </c>
      <c r="I14" s="193">
        <f t="shared" si="1"/>
        <v>52.39833333</v>
      </c>
      <c r="J14" s="193">
        <f t="shared" si="2"/>
        <v>0</v>
      </c>
      <c r="K14" s="193">
        <f t="shared" si="4"/>
        <v>59.2525</v>
      </c>
      <c r="L14" s="193">
        <f t="shared" si="5"/>
        <v>711.03</v>
      </c>
    </row>
    <row r="15">
      <c r="A15" s="2">
        <v>13.0</v>
      </c>
      <c r="B15" s="202">
        <v>44513.0</v>
      </c>
      <c r="C15" s="2">
        <f>45+18</f>
        <v>63</v>
      </c>
      <c r="D15" s="2">
        <v>0.0</v>
      </c>
      <c r="E15" s="2">
        <v>0.0</v>
      </c>
      <c r="F15" s="2">
        <v>0.0</v>
      </c>
      <c r="G15" s="2">
        <v>0.0</v>
      </c>
      <c r="H15" s="193">
        <f t="shared" si="3"/>
        <v>691.78</v>
      </c>
      <c r="I15" s="193">
        <f t="shared" si="1"/>
        <v>53.21384615</v>
      </c>
      <c r="J15" s="193">
        <f t="shared" si="2"/>
        <v>63</v>
      </c>
      <c r="K15" s="193">
        <f t="shared" si="4"/>
        <v>59.54076923</v>
      </c>
      <c r="L15" s="193">
        <f t="shared" si="5"/>
        <v>774.03</v>
      </c>
    </row>
    <row r="16">
      <c r="A16" s="2">
        <v>14.0</v>
      </c>
      <c r="B16" s="202">
        <v>44514.0</v>
      </c>
      <c r="C16" s="2">
        <v>39.0</v>
      </c>
      <c r="D16" s="2">
        <v>0.0</v>
      </c>
      <c r="E16" s="2">
        <v>0.0</v>
      </c>
      <c r="F16" s="2">
        <v>0.0</v>
      </c>
      <c r="G16" s="2">
        <v>0.0</v>
      </c>
      <c r="H16" s="193">
        <f t="shared" si="3"/>
        <v>730.78</v>
      </c>
      <c r="I16" s="193">
        <f t="shared" si="1"/>
        <v>52.19857143</v>
      </c>
      <c r="J16" s="193">
        <f t="shared" si="2"/>
        <v>39</v>
      </c>
      <c r="K16" s="193">
        <f t="shared" si="4"/>
        <v>58.07357143</v>
      </c>
      <c r="L16" s="193">
        <f t="shared" si="5"/>
        <v>813.03</v>
      </c>
    </row>
    <row r="17">
      <c r="A17" s="2">
        <v>15.0</v>
      </c>
      <c r="B17" s="202">
        <v>44515.0</v>
      </c>
      <c r="C17" s="2">
        <f>79.5+19.86</f>
        <v>99.36</v>
      </c>
      <c r="D17" s="2">
        <v>0.0</v>
      </c>
      <c r="E17" s="2">
        <v>0.0</v>
      </c>
      <c r="F17" s="2">
        <v>0.0</v>
      </c>
      <c r="G17" s="2">
        <v>49.5</v>
      </c>
      <c r="H17" s="193">
        <f t="shared" si="3"/>
        <v>830.14</v>
      </c>
      <c r="I17" s="193">
        <f t="shared" si="1"/>
        <v>55.34266667</v>
      </c>
      <c r="J17" s="193">
        <f t="shared" si="2"/>
        <v>148.86</v>
      </c>
      <c r="K17" s="193">
        <f t="shared" si="4"/>
        <v>64.126</v>
      </c>
      <c r="L17" s="193">
        <f t="shared" si="5"/>
        <v>961.89</v>
      </c>
    </row>
    <row r="18">
      <c r="A18" s="2">
        <v>16.0</v>
      </c>
      <c r="B18" s="202">
        <v>44516.0</v>
      </c>
      <c r="D18" s="2">
        <v>0.0</v>
      </c>
      <c r="E18" s="2">
        <v>0.0</v>
      </c>
      <c r="F18" s="2">
        <v>0.0</v>
      </c>
      <c r="G18" s="2">
        <v>0.0</v>
      </c>
      <c r="H18" s="193">
        <f t="shared" si="3"/>
        <v>830.14</v>
      </c>
      <c r="I18" s="193">
        <f t="shared" si="1"/>
        <v>51.88375</v>
      </c>
      <c r="J18" s="193">
        <f t="shared" si="2"/>
        <v>0</v>
      </c>
      <c r="K18" s="193">
        <f t="shared" si="4"/>
        <v>60.118125</v>
      </c>
      <c r="L18" s="193">
        <f t="shared" si="5"/>
        <v>961.89</v>
      </c>
    </row>
    <row r="19">
      <c r="A19" s="2">
        <v>17.0</v>
      </c>
      <c r="B19" s="202">
        <v>44517.0</v>
      </c>
      <c r="C19" s="2">
        <f>11.07+47.9+24.99+20+42.5+2.95</f>
        <v>149.41</v>
      </c>
      <c r="D19" s="2">
        <v>7.0</v>
      </c>
      <c r="E19" s="2">
        <v>0.0</v>
      </c>
      <c r="F19" s="2">
        <v>0.0</v>
      </c>
      <c r="G19" s="2">
        <v>0.0</v>
      </c>
      <c r="H19" s="193">
        <f t="shared" si="3"/>
        <v>986.55</v>
      </c>
      <c r="I19" s="193">
        <f t="shared" si="1"/>
        <v>58.03235294</v>
      </c>
      <c r="J19" s="193">
        <f t="shared" si="2"/>
        <v>156.41</v>
      </c>
      <c r="K19" s="193">
        <f t="shared" si="4"/>
        <v>65.78235294</v>
      </c>
      <c r="L19" s="193">
        <f t="shared" si="5"/>
        <v>1118.3</v>
      </c>
    </row>
    <row r="20">
      <c r="A20" s="2">
        <v>18.0</v>
      </c>
      <c r="B20" s="202">
        <v>44518.0</v>
      </c>
      <c r="C20" s="2">
        <f>10.5+36.94</f>
        <v>47.44</v>
      </c>
      <c r="D20" s="2">
        <v>0.0</v>
      </c>
      <c r="E20" s="2">
        <v>0.0</v>
      </c>
      <c r="F20" s="2">
        <v>0.0</v>
      </c>
      <c r="G20" s="2">
        <v>0.0</v>
      </c>
      <c r="H20" s="193">
        <f t="shared" si="3"/>
        <v>1033.99</v>
      </c>
      <c r="I20" s="193">
        <f t="shared" si="1"/>
        <v>57.44388889</v>
      </c>
      <c r="J20" s="193">
        <f t="shared" si="2"/>
        <v>47.44</v>
      </c>
      <c r="K20" s="193">
        <f t="shared" si="4"/>
        <v>64.76333333</v>
      </c>
      <c r="L20" s="193">
        <f t="shared" si="5"/>
        <v>1165.74</v>
      </c>
    </row>
    <row r="21" ht="15.75" customHeight="1">
      <c r="A21" s="2">
        <v>19.0</v>
      </c>
      <c r="B21" s="202">
        <v>44519.0</v>
      </c>
      <c r="C21" s="2">
        <v>0.0</v>
      </c>
      <c r="D21" s="2">
        <v>0.0</v>
      </c>
      <c r="E21" s="2">
        <v>0.0</v>
      </c>
      <c r="F21" s="2">
        <v>0.0</v>
      </c>
      <c r="G21" s="2">
        <v>24.9</v>
      </c>
      <c r="H21" s="193">
        <f t="shared" si="3"/>
        <v>1033.99</v>
      </c>
      <c r="I21" s="193">
        <f t="shared" si="1"/>
        <v>54.42052632</v>
      </c>
      <c r="J21" s="193">
        <f t="shared" si="2"/>
        <v>24.9</v>
      </c>
      <c r="K21" s="193">
        <f t="shared" si="4"/>
        <v>62.66526316</v>
      </c>
      <c r="L21" s="193">
        <f t="shared" si="5"/>
        <v>1190.64</v>
      </c>
    </row>
    <row r="22" ht="15.75" customHeight="1">
      <c r="A22" s="2">
        <v>20.0</v>
      </c>
      <c r="B22" s="202">
        <v>44520.0</v>
      </c>
      <c r="C22" s="2">
        <f>33+14.5+33.9</f>
        <v>81.4</v>
      </c>
      <c r="D22" s="2">
        <v>0.0</v>
      </c>
      <c r="E22" s="2">
        <v>0.0</v>
      </c>
      <c r="F22" s="2">
        <v>0.0</v>
      </c>
      <c r="G22" s="2">
        <v>225.0</v>
      </c>
      <c r="H22" s="193">
        <f t="shared" si="3"/>
        <v>1115.39</v>
      </c>
      <c r="I22" s="193">
        <f t="shared" si="1"/>
        <v>55.7695</v>
      </c>
      <c r="J22" s="193">
        <f t="shared" si="2"/>
        <v>306.4</v>
      </c>
      <c r="K22" s="193">
        <f t="shared" si="4"/>
        <v>74.852</v>
      </c>
      <c r="L22" s="193">
        <f t="shared" si="5"/>
        <v>1497.04</v>
      </c>
    </row>
    <row r="23" ht="15.75" customHeight="1">
      <c r="A23" s="2">
        <v>21.0</v>
      </c>
      <c r="B23" s="202">
        <v>44521.0</v>
      </c>
      <c r="C23" s="2">
        <v>74.0</v>
      </c>
      <c r="D23" s="2">
        <v>0.0</v>
      </c>
      <c r="E23" s="2">
        <v>0.0</v>
      </c>
      <c r="F23" s="2">
        <v>0.0</v>
      </c>
      <c r="G23" s="2">
        <v>0.0</v>
      </c>
      <c r="H23" s="193">
        <f t="shared" si="3"/>
        <v>1189.39</v>
      </c>
      <c r="I23" s="193">
        <f t="shared" si="1"/>
        <v>56.63761905</v>
      </c>
      <c r="J23" s="193">
        <f t="shared" si="2"/>
        <v>74</v>
      </c>
      <c r="K23" s="193">
        <f t="shared" si="4"/>
        <v>74.81142857</v>
      </c>
      <c r="L23" s="193">
        <f t="shared" si="5"/>
        <v>1571.04</v>
      </c>
    </row>
    <row r="24" ht="15.75" customHeight="1">
      <c r="A24" s="2">
        <v>22.0</v>
      </c>
      <c r="B24" s="202">
        <v>44522.0</v>
      </c>
      <c r="C24" s="2">
        <v>23.65</v>
      </c>
      <c r="D24" s="2">
        <v>0.0</v>
      </c>
      <c r="E24" s="2">
        <v>0.0</v>
      </c>
      <c r="F24" s="2">
        <v>0.0</v>
      </c>
      <c r="G24" s="2">
        <v>0.0</v>
      </c>
      <c r="H24" s="193">
        <f t="shared" si="3"/>
        <v>1213.04</v>
      </c>
      <c r="I24" s="193">
        <f t="shared" si="1"/>
        <v>55.13818182</v>
      </c>
      <c r="J24" s="193">
        <f t="shared" si="2"/>
        <v>23.65</v>
      </c>
      <c r="K24" s="193">
        <f t="shared" si="4"/>
        <v>72.48590909</v>
      </c>
      <c r="L24" s="193">
        <f t="shared" si="5"/>
        <v>1594.69</v>
      </c>
    </row>
    <row r="25" ht="15.75" customHeight="1">
      <c r="A25" s="2">
        <v>23.0</v>
      </c>
      <c r="B25" s="202">
        <v>44523.0</v>
      </c>
      <c r="C25" s="2">
        <v>5.07</v>
      </c>
      <c r="D25" s="2">
        <v>7.0</v>
      </c>
      <c r="E25" s="2">
        <v>0.0</v>
      </c>
      <c r="F25" s="2">
        <v>0.0</v>
      </c>
      <c r="G25" s="2">
        <v>0.0</v>
      </c>
      <c r="H25" s="193">
        <f t="shared" si="3"/>
        <v>1225.11</v>
      </c>
      <c r="I25" s="193">
        <f t="shared" si="1"/>
        <v>53.26565217</v>
      </c>
      <c r="J25" s="193">
        <f t="shared" si="2"/>
        <v>12.07</v>
      </c>
      <c r="K25" s="193">
        <f t="shared" si="4"/>
        <v>69.85913043</v>
      </c>
      <c r="L25" s="193">
        <f t="shared" si="5"/>
        <v>1606.76</v>
      </c>
    </row>
    <row r="26" ht="15.75" customHeight="1">
      <c r="A26" s="2">
        <v>24.0</v>
      </c>
      <c r="B26" s="202">
        <v>44524.0</v>
      </c>
      <c r="C26" s="2">
        <v>2.95</v>
      </c>
      <c r="D26" s="2">
        <v>7.0</v>
      </c>
      <c r="E26" s="2">
        <v>0.0</v>
      </c>
      <c r="F26" s="2">
        <v>0.0</v>
      </c>
      <c r="G26" s="2">
        <v>0.0</v>
      </c>
      <c r="H26" s="193">
        <f t="shared" si="3"/>
        <v>1235.06</v>
      </c>
      <c r="I26" s="193">
        <f t="shared" si="1"/>
        <v>51.46083333</v>
      </c>
      <c r="J26" s="193">
        <f t="shared" si="2"/>
        <v>9.95</v>
      </c>
      <c r="K26" s="193">
        <f t="shared" si="4"/>
        <v>67.36291667</v>
      </c>
      <c r="L26" s="193">
        <f t="shared" si="5"/>
        <v>1616.71</v>
      </c>
    </row>
    <row r="27" ht="15.75" customHeight="1">
      <c r="A27" s="2">
        <v>25.0</v>
      </c>
      <c r="B27" s="202">
        <v>44525.0</v>
      </c>
      <c r="C27" s="2">
        <f>14.5+65</f>
        <v>79.5</v>
      </c>
      <c r="D27" s="2">
        <v>0.0</v>
      </c>
      <c r="E27" s="2">
        <v>350.0</v>
      </c>
      <c r="F27" s="2">
        <v>160.0</v>
      </c>
      <c r="G27" s="2">
        <v>0.0</v>
      </c>
      <c r="H27" s="193">
        <f t="shared" si="3"/>
        <v>1314.56</v>
      </c>
      <c r="I27" s="193">
        <f t="shared" si="1"/>
        <v>52.5824</v>
      </c>
      <c r="J27" s="193">
        <f t="shared" si="2"/>
        <v>589.5</v>
      </c>
      <c r="K27" s="193">
        <f t="shared" si="4"/>
        <v>88.2484</v>
      </c>
      <c r="L27" s="193">
        <f t="shared" si="5"/>
        <v>2206.21</v>
      </c>
    </row>
    <row r="28" ht="15.75" customHeight="1">
      <c r="A28" s="2">
        <v>26.0</v>
      </c>
      <c r="B28" s="202">
        <v>44526.0</v>
      </c>
      <c r="C28" s="2">
        <f>28+30</f>
        <v>58</v>
      </c>
      <c r="D28" s="2">
        <v>0.0</v>
      </c>
      <c r="E28" s="2">
        <v>0.0</v>
      </c>
      <c r="F28" s="2">
        <v>0.0</v>
      </c>
      <c r="G28" s="2">
        <v>0.0</v>
      </c>
      <c r="H28" s="193">
        <f t="shared" si="3"/>
        <v>1372.56</v>
      </c>
      <c r="I28" s="193">
        <f t="shared" si="1"/>
        <v>52.79076923</v>
      </c>
      <c r="J28" s="193">
        <f t="shared" si="2"/>
        <v>58</v>
      </c>
      <c r="K28" s="193">
        <f t="shared" si="4"/>
        <v>87.085</v>
      </c>
      <c r="L28" s="193">
        <f t="shared" si="5"/>
        <v>2264.21</v>
      </c>
    </row>
    <row r="29" ht="15.75" customHeight="1">
      <c r="A29" s="2">
        <v>27.0</v>
      </c>
      <c r="B29" s="202">
        <v>44527.0</v>
      </c>
      <c r="C29" s="2">
        <v>110.36</v>
      </c>
      <c r="D29" s="2">
        <v>0.0</v>
      </c>
      <c r="E29" s="2">
        <v>0.0</v>
      </c>
      <c r="F29" s="2">
        <v>0.0</v>
      </c>
      <c r="G29" s="2">
        <v>0.0</v>
      </c>
      <c r="H29" s="193">
        <f t="shared" si="3"/>
        <v>1482.92</v>
      </c>
      <c r="I29" s="193">
        <f t="shared" si="1"/>
        <v>54.92296296</v>
      </c>
      <c r="J29" s="193">
        <f t="shared" si="2"/>
        <v>110.36</v>
      </c>
      <c r="K29" s="193">
        <f t="shared" si="4"/>
        <v>87.94703704</v>
      </c>
      <c r="L29" s="193">
        <f t="shared" si="5"/>
        <v>2374.57</v>
      </c>
    </row>
    <row r="30" ht="15.75" customHeight="1">
      <c r="A30" s="2">
        <v>28.0</v>
      </c>
      <c r="B30" s="202">
        <v>44528.0</v>
      </c>
      <c r="C30" s="2">
        <f>19.95+20</f>
        <v>39.95</v>
      </c>
      <c r="D30" s="2">
        <v>0.0</v>
      </c>
      <c r="E30" s="2">
        <v>0.0</v>
      </c>
      <c r="F30" s="2">
        <v>0.0</v>
      </c>
      <c r="G30" s="2">
        <v>0.0</v>
      </c>
      <c r="H30" s="193">
        <f t="shared" si="3"/>
        <v>1522.87</v>
      </c>
      <c r="I30" s="193">
        <f t="shared" si="1"/>
        <v>54.38821429</v>
      </c>
      <c r="J30" s="193">
        <f t="shared" si="2"/>
        <v>39.95</v>
      </c>
      <c r="K30" s="193">
        <f t="shared" si="4"/>
        <v>86.23285714</v>
      </c>
      <c r="L30" s="193">
        <f t="shared" si="5"/>
        <v>2414.52</v>
      </c>
    </row>
    <row r="31" ht="15.75" customHeight="1">
      <c r="A31" s="2">
        <v>29.0</v>
      </c>
      <c r="B31" s="202">
        <v>44529.0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193">
        <f t="shared" si="3"/>
        <v>1522.87</v>
      </c>
      <c r="I31" s="193">
        <f t="shared" si="1"/>
        <v>52.51275862</v>
      </c>
      <c r="J31" s="193">
        <f t="shared" si="2"/>
        <v>0</v>
      </c>
      <c r="K31" s="193">
        <f t="shared" si="4"/>
        <v>83.25931034</v>
      </c>
      <c r="L31" s="193">
        <f t="shared" si="5"/>
        <v>2414.52</v>
      </c>
    </row>
    <row r="32" ht="15.75" customHeight="1">
      <c r="A32" s="2">
        <v>30.0</v>
      </c>
      <c r="B32" s="202">
        <v>44530.0</v>
      </c>
      <c r="C32" s="2">
        <v>25.2</v>
      </c>
      <c r="D32" s="2">
        <v>3.5</v>
      </c>
      <c r="E32" s="2">
        <v>0.0</v>
      </c>
      <c r="F32" s="2">
        <v>0.0</v>
      </c>
      <c r="G32" s="2">
        <v>0.0</v>
      </c>
      <c r="H32" s="193">
        <f t="shared" si="3"/>
        <v>1551.57</v>
      </c>
      <c r="I32" s="203">
        <f t="shared" si="1"/>
        <v>51.719</v>
      </c>
      <c r="J32" s="193">
        <f t="shared" si="2"/>
        <v>28.7</v>
      </c>
      <c r="K32" s="193">
        <f t="shared" si="4"/>
        <v>81.44066667</v>
      </c>
      <c r="L32" s="203">
        <f t="shared" si="5"/>
        <v>2443.22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Yusuf Akılevi</dc:creator>
</cp:coreProperties>
</file>